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92DC9A4F-97DC-4579-B635-7A2B2957E900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Project charter" sheetId="1" r:id="rId1"/>
    <sheet name="Gantt chart" sheetId="3" r:id="rId2"/>
    <sheet name="RACI" sheetId="4" r:id="rId3"/>
    <sheet name="WBS " sheetId="2" r:id="rId4"/>
    <sheet name="Risk Log" sheetId="6" r:id="rId5"/>
  </sheets>
  <definedNames>
    <definedName name="_xlnm._FilterDatabase" localSheetId="4" hidden="1">'Risk Log'!$M$5:$M$7</definedName>
    <definedName name="_xlnm.Print_Area" localSheetId="1">'Gantt chart'!$B$3:$AN$33</definedName>
    <definedName name="_xlnm.Print_Area" localSheetId="4">'Risk Log'!$A$1:$N$8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6" l="1"/>
  <c r="G7" i="6"/>
  <c r="G8" i="6"/>
  <c r="G5" i="6"/>
  <c r="I31" i="2"/>
  <c r="I30" i="2"/>
  <c r="I29" i="2"/>
  <c r="I27" i="2"/>
  <c r="I26" i="2"/>
  <c r="I6" i="2"/>
</calcChain>
</file>

<file path=xl/sharedStrings.xml><?xml version="1.0" encoding="utf-8"?>
<sst xmlns="http://schemas.openxmlformats.org/spreadsheetml/2006/main" count="329" uniqueCount="186">
  <si>
    <t>Project Charter</t>
  </si>
  <si>
    <t>Project- SpectroGuard</t>
  </si>
  <si>
    <t>PROJECT PARTICIPANTS</t>
  </si>
  <si>
    <t>Name</t>
  </si>
  <si>
    <t>SPECTROGUARD</t>
  </si>
  <si>
    <t>Stakeholder</t>
  </si>
  <si>
    <t>Project Sponsors</t>
  </si>
  <si>
    <t>Marathwada Mitra Mandal's Institute of Technology</t>
  </si>
  <si>
    <t>Customers</t>
  </si>
  <si>
    <t>Technical and Non-Technical global users</t>
  </si>
  <si>
    <t>Project Manager</t>
  </si>
  <si>
    <t xml:space="preserve">Project Manager </t>
  </si>
  <si>
    <t>Kapil Waghumbare</t>
  </si>
  <si>
    <t xml:space="preserve">Assistant Project Manager </t>
  </si>
  <si>
    <t>Pratiksha Alhat</t>
  </si>
  <si>
    <t>Email</t>
  </si>
  <si>
    <t>kapilwaghumbare@gmail.com</t>
  </si>
  <si>
    <t>Project Team</t>
  </si>
  <si>
    <t>Kapil Waghumbare, Pratiksha Alhat, Shraddha Gadekar.</t>
  </si>
  <si>
    <t>PROJECT DESCRIPTION </t>
  </si>
  <si>
    <t>Goal Statement</t>
  </si>
  <si>
    <t>To design and develop a user-friendly web-based cybersecurity toolkit containing four security models. A password predictability checker trained using a higher-order Markov model, a URL safety validator using blacklist and heuristic analysis, an AI-based phishing website detector using a support vector machine, and a document validator using SHA-256.</t>
  </si>
  <si>
    <t>Objective</t>
  </si>
  <si>
    <t>To develop an intuitive web platform that mitigates social engineering risks for non-technical users by providing automated, real-time verification of malicious links and counterfeit login pages.</t>
  </si>
  <si>
    <t xml:space="preserve">Sr. No. </t>
  </si>
  <si>
    <t>Tasks</t>
  </si>
  <si>
    <t>Phase 1</t>
  </si>
  <si>
    <t>Phase 2</t>
  </si>
  <si>
    <t>Phase 3</t>
  </si>
  <si>
    <t>Phase 4</t>
  </si>
  <si>
    <t>Phase 5</t>
  </si>
  <si>
    <t>Phase 6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</si>
  <si>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</si>
  <si>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</si>
  <si>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</si>
  <si>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</si>
  <si>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</si>
  <si>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</si>
  <si>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</si>
  <si>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</si>
  <si>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</si>
  <si>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</si>
  <si>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</si>
  <si>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</si>
  <si>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</si>
  <si>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</si>
  <si>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</si>
  <si>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</si>
  <si>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</si>
  <si>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</si>
  <si>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</si>
  <si>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</si>
  <si>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</si>
  <si>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</si>
  <si>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</si>
  <si>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</si>
  <si>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</si>
  <si>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</si>
  <si>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</si>
  <si>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</si>
  <si>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</si>
  <si>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</si>
  <si>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</si>
  <si>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</si>
  <si>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</si>
  <si>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</si>
  <si>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</si>
  <si>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</si>
  <si>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</si>
  <si>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 xml:space="preserve">Data Collection </t>
  </si>
  <si>
    <t>Gather Data sets</t>
  </si>
  <si>
    <t>Data Preprocessing</t>
  </si>
  <si>
    <t>Data Cleaning</t>
  </si>
  <si>
    <t>Data Optimization</t>
  </si>
  <si>
    <t>Model Development 1</t>
  </si>
  <si>
    <t>Password Model development</t>
  </si>
  <si>
    <t xml:space="preserve">Training </t>
  </si>
  <si>
    <t>Testing</t>
  </si>
  <si>
    <t>Model development 2</t>
  </si>
  <si>
    <t>URL Model development</t>
  </si>
  <si>
    <t>Model Development 3</t>
  </si>
  <si>
    <t>Phishing Model development</t>
  </si>
  <si>
    <t>Model Development 4</t>
  </si>
  <si>
    <t>Hash Model development</t>
  </si>
  <si>
    <t>Comparison Analysis</t>
  </si>
  <si>
    <t>Algorithm development &amp; Testing</t>
  </si>
  <si>
    <t>Comparison matrix development</t>
  </si>
  <si>
    <t>User Interface</t>
  </si>
  <si>
    <t>development of UI/UX</t>
  </si>
  <si>
    <t>Integration</t>
  </si>
  <si>
    <t>Deployment</t>
  </si>
  <si>
    <t>Documentation</t>
  </si>
  <si>
    <t>Weekly</t>
  </si>
  <si>
    <t>RACI Matrix</t>
  </si>
  <si>
    <t>Project -SpectroGuard</t>
  </si>
  <si>
    <t>Sr. No.</t>
  </si>
  <si>
    <t>Task</t>
  </si>
  <si>
    <t>Kapil</t>
  </si>
  <si>
    <t>Pratiksha</t>
  </si>
  <si>
    <t>Shraddha</t>
  </si>
  <si>
    <t>Swapnil Sir</t>
  </si>
  <si>
    <t>Responsible</t>
  </si>
  <si>
    <t>Project charter</t>
  </si>
  <si>
    <t>R</t>
  </si>
  <si>
    <t>C</t>
  </si>
  <si>
    <t>A</t>
  </si>
  <si>
    <t>Accountable</t>
  </si>
  <si>
    <t>WBS and Gantt chart</t>
  </si>
  <si>
    <t>A/R</t>
  </si>
  <si>
    <t>I</t>
  </si>
  <si>
    <t>Consulted</t>
  </si>
  <si>
    <t>Risk log</t>
  </si>
  <si>
    <t>Informed</t>
  </si>
  <si>
    <t>Progress tracking and guide reviews</t>
  </si>
  <si>
    <t>Gather datasets</t>
  </si>
  <si>
    <t>Data cleaning</t>
  </si>
  <si>
    <t>Data optimization</t>
  </si>
  <si>
    <t>Password model development</t>
  </si>
  <si>
    <t>Password model training</t>
  </si>
  <si>
    <t>Password model testing</t>
  </si>
  <si>
    <t>URL model development</t>
  </si>
  <si>
    <t>URL model training</t>
  </si>
  <si>
    <t>URL model testing</t>
  </si>
  <si>
    <t>Phishing model development</t>
  </si>
  <si>
    <t>Phishing model training</t>
  </si>
  <si>
    <t>Phishing model testing</t>
  </si>
  <si>
    <t>Hash model development</t>
  </si>
  <si>
    <t>Algorithm development</t>
  </si>
  <si>
    <t>Comparison matrix</t>
  </si>
  <si>
    <t>UI/UX development</t>
  </si>
  <si>
    <t>Final demo and approval</t>
  </si>
  <si>
    <t>Work Breakdown Strecture</t>
  </si>
  <si>
    <t>Work Breakdown</t>
  </si>
  <si>
    <t>Task Owner</t>
  </si>
  <si>
    <t xml:space="preserve">Start Date </t>
  </si>
  <si>
    <t>Due date</t>
  </si>
  <si>
    <t>Buffer days</t>
  </si>
  <si>
    <t>Final Due Date</t>
  </si>
  <si>
    <t>Task completed</t>
  </si>
  <si>
    <t xml:space="preserve">Data collection </t>
  </si>
  <si>
    <t>Shraddha Gadekar</t>
  </si>
  <si>
    <t xml:space="preserve">Data Cleaning </t>
  </si>
  <si>
    <t>Model development 1</t>
  </si>
  <si>
    <t>Model development 3</t>
  </si>
  <si>
    <t>Model development 4</t>
  </si>
  <si>
    <t xml:space="preserve"> Comparison matrix development</t>
  </si>
  <si>
    <t xml:space="preserve">Rick Log </t>
  </si>
  <si>
    <t>Risk ID</t>
  </si>
  <si>
    <t>Risk</t>
  </si>
  <si>
    <t>WBS Ref</t>
  </si>
  <si>
    <t>Probability</t>
  </si>
  <si>
    <t>Impact</t>
  </si>
  <si>
    <t>Score</t>
  </si>
  <si>
    <t>Mitigation</t>
  </si>
  <si>
    <t>What Happened</t>
  </si>
  <si>
    <t>Action Taken</t>
  </si>
  <si>
    <t>Occurred?</t>
  </si>
  <si>
    <t>Date</t>
  </si>
  <si>
    <t>Final Status</t>
  </si>
  <si>
    <t>R1</t>
  </si>
  <si>
    <t>Password model not learning patterns while training</t>
  </si>
  <si>
    <t>3.1, 3.2, 3.3</t>
  </si>
  <si>
    <t>Check and optimize data set before training</t>
  </si>
  <si>
    <t>Password model was not able to learn patterns, which caused predictability issue</t>
  </si>
  <si>
    <t>Changed data set and optimized it according to the higher order</t>
  </si>
  <si>
    <t>Yes</t>
  </si>
  <si>
    <t>Closed</t>
  </si>
  <si>
    <t>R2</t>
  </si>
  <si>
    <t>URL model accuracy under target</t>
  </si>
  <si>
    <t>4.1, 4.2, 4.3</t>
  </si>
  <si>
    <t>Check data set and train-test split before training</t>
  </si>
  <si>
    <t>Accuracy was not up to the target (93%+)</t>
  </si>
  <si>
    <t>Retrained the URL model with more data</t>
  </si>
  <si>
    <t>R3</t>
  </si>
  <si>
    <t>Phishing model file corrupted</t>
  </si>
  <si>
    <t>5.1, 5.2, 5.3</t>
  </si>
  <si>
    <t>Keep backups and version control for trained models</t>
  </si>
  <si>
    <t>Phishing model was not able to fetch features from a website</t>
  </si>
  <si>
    <t>Restored model from Google Drive. Backup was an older version, so modified it to work with current Python version (3.14.3)</t>
  </si>
  <si>
    <t>R4</t>
  </si>
  <si>
    <t>Python version may not match the backend</t>
  </si>
  <si>
    <t>8, 9</t>
  </si>
  <si>
    <t>Check version requirements for development and keep track of them</t>
  </si>
  <si>
    <t>Not applicable</t>
  </si>
  <si>
    <t>No</t>
  </si>
  <si>
    <t>Not 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</si>
</sst>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2"/>
      <color theme="1"/>
      <name val="Google Sans"/>
      <family val="2"/>
      <charset val="1"/>
    </font>
    <font>
      <b/>
      <sz val="11"/>
      <color rgb="FF000000"/>
      <name val="Calibri"/>
      <scheme val="minor"/>
    </font>
    <font>
      <b/>
      <sz val="12"/>
      <color rgb="FF000000"/>
      <name val="Arial"/>
    </font>
    <font>
      <b/>
      <sz val="12"/>
      <color rgb="FF000000"/>
      <name val="Calibri"/>
      <scheme val="minor"/>
    </font>
    <font>
      <sz val="11"/>
      <color rgb="FF000000"/>
      <name val="Calibri"/>
      <charset val="1"/>
    </font>
    <font>
      <sz val="12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charset val="1"/>
    </font>
    <font>
      <sz val="12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/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  <border>
      <left style="dashed">
        <color rgb="FF000000"/>
      </left>
      <right/>
      <top/>
      <bottom/>
      <diagonal/>
    </border>
    <border>
      <left/>
      <right style="dashed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/>
      <right style="dashed">
        <color rgb="FF000000"/>
      </right>
      <top/>
      <bottom style="dashed">
        <color rgb="FF000000"/>
      </bottom>
      <diagonal/>
    </border>
    <border>
      <left/>
      <right/>
      <top/>
      <bottom style="dashed">
        <color rgb="FF000000"/>
      </bottom>
      <diagonal/>
    </border>
    <border>
      <left style="dashed">
        <color rgb="FF000000"/>
      </left>
      <right/>
      <top/>
      <bottom style="dash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0">
    <xf numFmtId="0" fontId="0" fillId="0" borderId="0" xfId="0"/>
    <xf numFmtId="0" fontId="4" fillId="3" borderId="1" xfId="0" applyFont="1" applyFill="1" applyBorder="1" applyAlignment="1">
      <alignment readingOrder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4" fillId="7" borderId="0" xfId="0" applyFont="1" applyFill="1" applyBorder="1" applyAlignment="1">
      <alignment vertical="center"/>
    </xf>
    <xf numFmtId="0" fontId="0" fillId="7" borderId="0" xfId="0" applyFill="1" applyAlignment="1"/>
    <xf numFmtId="0" fontId="0" fillId="7" borderId="0" xfId="0" applyFill="1"/>
    <xf numFmtId="15" fontId="0" fillId="7" borderId="0" xfId="0" applyNumberFormat="1" applyFont="1" applyFill="1" applyBorder="1" applyAlignment="1">
      <alignment vertical="center"/>
    </xf>
    <xf numFmtId="1" fontId="0" fillId="7" borderId="0" xfId="0" applyNumberFormat="1" applyFont="1" applyFill="1" applyBorder="1" applyAlignment="1">
      <alignment vertical="center"/>
    </xf>
    <xf numFmtId="0" fontId="0" fillId="7" borderId="0" xfId="0" applyFont="1" applyFill="1" applyBorder="1" applyAlignment="1">
      <alignment vertical="center"/>
    </xf>
    <xf numFmtId="0" fontId="0" fillId="7" borderId="0" xfId="0" applyFont="1" applyFill="1" applyBorder="1" applyAlignment="1">
      <alignment wrapText="1"/>
    </xf>
    <xf numFmtId="0" fontId="0" fillId="7" borderId="0" xfId="0" applyFill="1" applyAlignment="1">
      <alignment vertical="center"/>
    </xf>
    <xf numFmtId="0" fontId="8" fillId="7" borderId="0" xfId="0" applyFont="1" applyFill="1" applyBorder="1" applyAlignment="1">
      <alignment vertical="center"/>
    </xf>
    <xf numFmtId="0" fontId="6" fillId="7" borderId="0" xfId="0" applyFont="1" applyFill="1" applyBorder="1" applyAlignment="1">
      <alignment wrapText="1"/>
    </xf>
    <xf numFmtId="0" fontId="0" fillId="7" borderId="0" xfId="0" applyFill="1" applyBorder="1" applyAlignment="1">
      <alignment vertical="center" wrapText="1"/>
    </xf>
    <xf numFmtId="0" fontId="0" fillId="7" borderId="0" xfId="0" applyFill="1" applyBorder="1" applyAlignment="1">
      <alignment vertical="center"/>
    </xf>
    <xf numFmtId="0" fontId="0" fillId="7" borderId="0" xfId="0" applyFill="1" applyAlignment="1">
      <alignment horizontal="left"/>
    </xf>
    <xf numFmtId="0" fontId="11" fillId="7" borderId="0" xfId="0" applyFont="1" applyFill="1" applyBorder="1" applyAlignment="1">
      <alignment wrapText="1"/>
    </xf>
    <xf numFmtId="0" fontId="9" fillId="7" borderId="0" xfId="0" applyFont="1" applyFill="1" applyAlignment="1"/>
    <xf numFmtId="0" fontId="0" fillId="7" borderId="0" xfId="0" applyFill="1" applyBorder="1" applyAlignment="1">
      <alignment wrapText="1"/>
    </xf>
    <xf numFmtId="0" fontId="0" fillId="7" borderId="0" xfId="0" applyFill="1" applyBorder="1" applyAlignment="1"/>
    <xf numFmtId="0" fontId="0" fillId="7" borderId="0" xfId="0" applyFont="1" applyFill="1" applyBorder="1" applyAlignment="1"/>
    <xf numFmtId="0" fontId="15" fillId="9" borderId="0" xfId="0" applyFont="1" applyFill="1" applyBorder="1" applyAlignment="1">
      <alignment wrapText="1"/>
    </xf>
    <xf numFmtId="0" fontId="0" fillId="11" borderId="0" xfId="0" applyFill="1" applyAlignment="1"/>
    <xf numFmtId="0" fontId="0" fillId="7" borderId="10" xfId="0" applyFill="1" applyBorder="1" applyAlignment="1"/>
    <xf numFmtId="0" fontId="0" fillId="10" borderId="10" xfId="0" applyFill="1" applyBorder="1" applyAlignment="1"/>
    <xf numFmtId="0" fontId="0" fillId="11" borderId="10" xfId="0" applyFill="1" applyBorder="1" applyAlignment="1"/>
    <xf numFmtId="0" fontId="0" fillId="7" borderId="12" xfId="0" applyFill="1" applyBorder="1" applyAlignment="1"/>
    <xf numFmtId="0" fontId="0" fillId="10" borderId="12" xfId="0" applyFill="1" applyBorder="1" applyAlignment="1"/>
    <xf numFmtId="0" fontId="0" fillId="7" borderId="13" xfId="0" applyFill="1" applyBorder="1"/>
    <xf numFmtId="0" fontId="0" fillId="10" borderId="0" xfId="0" applyFill="1" applyBorder="1" applyAlignment="1"/>
    <xf numFmtId="0" fontId="0" fillId="10" borderId="13" xfId="0" applyFill="1" applyBorder="1" applyAlignment="1"/>
    <xf numFmtId="0" fontId="0" fillId="11" borderId="0" xfId="0" applyFill="1" applyBorder="1" applyAlignment="1"/>
    <xf numFmtId="0" fontId="0" fillId="7" borderId="13" xfId="0" applyFill="1" applyBorder="1" applyAlignment="1">
      <alignment horizontal="left"/>
    </xf>
    <xf numFmtId="15" fontId="0" fillId="7" borderId="12" xfId="0" applyNumberFormat="1" applyFill="1" applyBorder="1" applyAlignment="1">
      <alignment vertical="center"/>
    </xf>
    <xf numFmtId="0" fontId="0" fillId="11" borderId="12" xfId="0" applyFill="1" applyBorder="1" applyAlignment="1"/>
    <xf numFmtId="0" fontId="0" fillId="14" borderId="12" xfId="0" applyFill="1" applyBorder="1" applyAlignment="1"/>
    <xf numFmtId="0" fontId="0" fillId="7" borderId="12" xfId="0" applyFill="1" applyBorder="1"/>
    <xf numFmtId="0" fontId="0" fillId="7" borderId="10" xfId="0" applyFill="1" applyBorder="1"/>
    <xf numFmtId="0" fontId="0" fillId="12" borderId="10" xfId="0" applyFill="1" applyBorder="1"/>
    <xf numFmtId="0" fontId="0" fillId="7" borderId="10" xfId="0" applyFill="1" applyBorder="1" applyAlignment="1">
      <alignment horizontal="left"/>
    </xf>
    <xf numFmtId="0" fontId="0" fillId="15" borderId="0" xfId="0" applyFill="1"/>
    <xf numFmtId="0" fontId="0" fillId="7" borderId="10" xfId="0" applyFont="1" applyFill="1" applyBorder="1"/>
    <xf numFmtId="0" fontId="0" fillId="7" borderId="10" xfId="0" applyFont="1" applyFill="1" applyBorder="1" applyAlignment="1">
      <alignment horizontal="left"/>
    </xf>
    <xf numFmtId="0" fontId="0" fillId="19" borderId="3" xfId="0" applyFill="1" applyBorder="1"/>
    <xf numFmtId="0" fontId="0" fillId="19" borderId="3" xfId="0" applyFill="1" applyBorder="1" applyAlignment="1">
      <alignment horizontal="left" vertical="center"/>
    </xf>
    <xf numFmtId="15" fontId="0" fillId="19" borderId="1" xfId="0" applyNumberFormat="1" applyFill="1" applyBorder="1" applyAlignment="1">
      <alignment horizontal="center" vertical="center"/>
    </xf>
    <xf numFmtId="1" fontId="0" fillId="19" borderId="1" xfId="0" applyNumberFormat="1" applyFill="1" applyBorder="1" applyAlignment="1">
      <alignment horizontal="center" vertical="center"/>
    </xf>
    <xf numFmtId="0" fontId="0" fillId="19" borderId="3" xfId="0" applyFill="1" applyBorder="1" applyAlignment="1">
      <alignment wrapText="1"/>
    </xf>
    <xf numFmtId="0" fontId="9" fillId="19" borderId="3" xfId="0" applyFont="1" applyFill="1" applyBorder="1" applyAlignment="1">
      <alignment wrapText="1"/>
    </xf>
    <xf numFmtId="0" fontId="0" fillId="20" borderId="3" xfId="0" applyFill="1" applyBorder="1" applyAlignment="1">
      <alignment horizontal="left" vertical="center"/>
    </xf>
    <xf numFmtId="15" fontId="0" fillId="20" borderId="1" xfId="0" applyNumberFormat="1" applyFill="1" applyBorder="1" applyAlignment="1">
      <alignment horizontal="center" vertical="center"/>
    </xf>
    <xf numFmtId="15" fontId="0" fillId="20" borderId="4" xfId="0" applyNumberFormat="1" applyFill="1" applyBorder="1" applyAlignment="1">
      <alignment horizontal="center" vertical="center"/>
    </xf>
    <xf numFmtId="1" fontId="0" fillId="20" borderId="1" xfId="0" applyNumberFormat="1" applyFill="1" applyBorder="1" applyAlignment="1">
      <alignment horizontal="center" vertical="center"/>
    </xf>
    <xf numFmtId="15" fontId="0" fillId="20" borderId="6" xfId="0" applyNumberFormat="1" applyFill="1" applyBorder="1" applyAlignment="1">
      <alignment horizontal="center" vertical="center"/>
    </xf>
    <xf numFmtId="0" fontId="0" fillId="19" borderId="1" xfId="0" applyFill="1" applyBorder="1" applyAlignment="1">
      <alignment wrapText="1"/>
    </xf>
    <xf numFmtId="0" fontId="0" fillId="19" borderId="1" xfId="0" applyFill="1" applyBorder="1"/>
    <xf numFmtId="0" fontId="11" fillId="3" borderId="1" xfId="0" applyFont="1" applyFill="1" applyBorder="1" applyAlignment="1">
      <alignment horizontal="center" vertical="center"/>
    </xf>
    <xf numFmtId="0" fontId="11" fillId="21" borderId="1" xfId="0" applyFont="1" applyFill="1" applyBorder="1"/>
    <xf numFmtId="0" fontId="6" fillId="21" borderId="1" xfId="0" applyFont="1" applyFill="1" applyBorder="1"/>
    <xf numFmtId="0" fontId="13" fillId="21" borderId="1" xfId="0" applyFont="1" applyFill="1" applyBorder="1"/>
    <xf numFmtId="0" fontId="11" fillId="21" borderId="1" xfId="0" applyFont="1" applyFill="1" applyBorder="1" applyAlignment="1">
      <alignment horizontal="left" vertical="top" wrapText="1"/>
    </xf>
    <xf numFmtId="0" fontId="11" fillId="21" borderId="1" xfId="0" applyFont="1" applyFill="1" applyBorder="1" applyAlignment="1">
      <alignment horizontal="left" wrapText="1"/>
    </xf>
    <xf numFmtId="0" fontId="9" fillId="19" borderId="6" xfId="0" applyFont="1" applyFill="1" applyBorder="1"/>
    <xf numFmtId="0" fontId="9" fillId="19" borderId="1" xfId="0" applyFont="1" applyFill="1" applyBorder="1"/>
    <xf numFmtId="0" fontId="9" fillId="19" borderId="1" xfId="0" applyFont="1" applyFill="1" applyBorder="1" applyAlignment="1"/>
    <xf numFmtId="0" fontId="0" fillId="3" borderId="1" xfId="0" applyFill="1" applyBorder="1" applyAlignment="1">
      <alignment horizontal="center" vertical="center"/>
    </xf>
    <xf numFmtId="15" fontId="0" fillId="3" borderId="1" xfId="0" applyNumberFormat="1" applyFill="1" applyBorder="1"/>
    <xf numFmtId="0" fontId="0" fillId="7" borderId="15" xfId="0" applyFill="1" applyBorder="1"/>
    <xf numFmtId="0" fontId="0" fillId="7" borderId="15" xfId="0" applyFill="1" applyBorder="1" applyAlignment="1">
      <alignment horizontal="left"/>
    </xf>
    <xf numFmtId="0" fontId="0" fillId="7" borderId="2" xfId="0" applyFill="1" applyBorder="1"/>
    <xf numFmtId="15" fontId="0" fillId="7" borderId="2" xfId="0" applyNumberFormat="1" applyFont="1" applyFill="1" applyBorder="1" applyAlignment="1">
      <alignment vertical="center"/>
    </xf>
    <xf numFmtId="0" fontId="0" fillId="7" borderId="2" xfId="0" applyFill="1" applyBorder="1" applyAlignment="1"/>
    <xf numFmtId="1" fontId="0" fillId="7" borderId="2" xfId="0" applyNumberFormat="1" applyFont="1" applyFill="1" applyBorder="1" applyAlignment="1">
      <alignment vertical="center"/>
    </xf>
    <xf numFmtId="0" fontId="0" fillId="7" borderId="16" xfId="0" applyFill="1" applyBorder="1"/>
    <xf numFmtId="15" fontId="0" fillId="19" borderId="1" xfId="0" applyNumberFormat="1" applyFill="1" applyBorder="1" applyAlignment="1"/>
    <xf numFmtId="0" fontId="0" fillId="13" borderId="10" xfId="0" applyFill="1" applyBorder="1" applyAlignment="1">
      <alignment horizontal="center"/>
    </xf>
    <xf numFmtId="0" fontId="0" fillId="7" borderId="0" xfId="0" applyFill="1" applyBorder="1"/>
    <xf numFmtId="15" fontId="0" fillId="22" borderId="0" xfId="0" applyNumberFormat="1" applyFont="1" applyFill="1" applyBorder="1" applyAlignment="1">
      <alignment vertical="center"/>
    </xf>
    <xf numFmtId="0" fontId="11" fillId="22" borderId="0" xfId="0" applyFont="1" applyFill="1" applyBorder="1" applyAlignment="1">
      <alignment wrapText="1"/>
    </xf>
    <xf numFmtId="1" fontId="0" fillId="22" borderId="0" xfId="0" applyNumberFormat="1" applyFont="1" applyFill="1" applyBorder="1" applyAlignment="1">
      <alignment vertical="center"/>
    </xf>
    <xf numFmtId="0" fontId="0" fillId="22" borderId="0" xfId="0" applyFill="1" applyAlignment="1"/>
    <xf numFmtId="0" fontId="0" fillId="22" borderId="0" xfId="0" applyFill="1" applyBorder="1" applyAlignment="1"/>
    <xf numFmtId="0" fontId="0" fillId="22" borderId="0" xfId="0" applyFill="1" applyBorder="1"/>
    <xf numFmtId="0" fontId="0" fillId="22" borderId="0" xfId="0" applyFill="1"/>
    <xf numFmtId="0" fontId="0" fillId="22" borderId="0" xfId="0" applyFont="1" applyFill="1" applyBorder="1" applyAlignment="1">
      <alignment horizontal="center"/>
    </xf>
    <xf numFmtId="0" fontId="0" fillId="22" borderId="15" xfId="0" applyFont="1" applyFill="1" applyBorder="1" applyAlignment="1">
      <alignment horizontal="center"/>
    </xf>
    <xf numFmtId="0" fontId="0" fillId="17" borderId="0" xfId="0" applyFont="1" applyFill="1" applyBorder="1" applyAlignment="1"/>
    <xf numFmtId="0" fontId="0" fillId="17" borderId="15" xfId="0" applyFont="1" applyFill="1" applyBorder="1" applyAlignment="1"/>
    <xf numFmtId="0" fontId="0" fillId="16" borderId="0" xfId="0" applyFill="1" applyBorder="1" applyAlignment="1"/>
    <xf numFmtId="0" fontId="15" fillId="9" borderId="14" xfId="0" applyFont="1" applyFill="1" applyBorder="1" applyAlignment="1">
      <alignment wrapText="1"/>
    </xf>
    <xf numFmtId="0" fontId="0" fillId="11" borderId="13" xfId="0" applyFill="1" applyBorder="1" applyAlignment="1"/>
    <xf numFmtId="0" fontId="0" fillId="12" borderId="0" xfId="0" applyFill="1" applyBorder="1" applyAlignment="1"/>
    <xf numFmtId="0" fontId="0" fillId="12" borderId="13" xfId="0" applyFill="1" applyBorder="1" applyAlignment="1"/>
    <xf numFmtId="0" fontId="0" fillId="13" borderId="0" xfId="0" applyFill="1" applyBorder="1" applyAlignment="1"/>
    <xf numFmtId="0" fontId="0" fillId="13" borderId="13" xfId="0" applyFill="1" applyBorder="1" applyAlignment="1"/>
    <xf numFmtId="0" fontId="0" fillId="15" borderId="0" xfId="0" applyFill="1" applyBorder="1" applyAlignment="1"/>
    <xf numFmtId="0" fontId="0" fillId="8" borderId="0" xfId="0" applyFill="1" applyBorder="1" applyAlignment="1"/>
    <xf numFmtId="0" fontId="0" fillId="17" borderId="10" xfId="0" applyFont="1" applyFill="1" applyBorder="1" applyAlignment="1"/>
    <xf numFmtId="0" fontId="0" fillId="16" borderId="10" xfId="0" applyFill="1" applyBorder="1" applyAlignment="1"/>
    <xf numFmtId="0" fontId="0" fillId="22" borderId="10" xfId="0" applyFont="1" applyFill="1" applyBorder="1" applyAlignment="1">
      <alignment horizontal="center"/>
    </xf>
    <xf numFmtId="0" fontId="0" fillId="8" borderId="10" xfId="0" applyFill="1" applyBorder="1" applyAlignment="1"/>
    <xf numFmtId="0" fontId="0" fillId="22" borderId="10" xfId="0" applyFill="1" applyBorder="1"/>
    <xf numFmtId="0" fontId="0" fillId="15" borderId="10" xfId="0" applyFill="1" applyBorder="1" applyAlignment="1"/>
    <xf numFmtId="0" fontId="0" fillId="13" borderId="10" xfId="0" applyFill="1" applyBorder="1" applyAlignment="1"/>
    <xf numFmtId="0" fontId="0" fillId="12" borderId="10" xfId="0" applyFill="1" applyBorder="1" applyAlignment="1"/>
    <xf numFmtId="0" fontId="15" fillId="9" borderId="10" xfId="0" applyFont="1" applyFill="1" applyBorder="1" applyAlignment="1">
      <alignment wrapText="1"/>
    </xf>
    <xf numFmtId="0" fontId="0" fillId="22" borderId="12" xfId="0" applyFill="1" applyBorder="1" applyAlignment="1"/>
    <xf numFmtId="15" fontId="0" fillId="19" borderId="1" xfId="0" applyNumberFormat="1" applyFill="1" applyBorder="1"/>
    <xf numFmtId="15" fontId="0" fillId="23" borderId="1" xfId="0" applyNumberFormat="1" applyFill="1" applyBorder="1" applyAlignment="1">
      <alignment horizontal="center" vertical="center"/>
    </xf>
    <xf numFmtId="15" fontId="0" fillId="23" borderId="6" xfId="0" applyNumberFormat="1" applyFill="1" applyBorder="1" applyAlignment="1">
      <alignment horizontal="center" vertical="center"/>
    </xf>
    <xf numFmtId="0" fontId="0" fillId="7" borderId="18" xfId="0" applyFill="1" applyBorder="1"/>
    <xf numFmtId="0" fontId="0" fillId="7" borderId="19" xfId="0" applyFill="1" applyBorder="1"/>
    <xf numFmtId="0" fontId="0" fillId="7" borderId="11" xfId="0" applyFill="1" applyBorder="1"/>
    <xf numFmtId="0" fontId="0" fillId="7" borderId="20" xfId="0" applyFill="1" applyBorder="1"/>
    <xf numFmtId="0" fontId="0" fillId="7" borderId="0" xfId="0" applyFill="1" applyBorder="1" applyAlignment="1">
      <alignment horizontal="left"/>
    </xf>
    <xf numFmtId="15" fontId="0" fillId="19" borderId="4" xfId="0" applyNumberFormat="1" applyFill="1" applyBorder="1"/>
    <xf numFmtId="0" fontId="0" fillId="14" borderId="0" xfId="0" applyFill="1" applyBorder="1"/>
    <xf numFmtId="15" fontId="0" fillId="19" borderId="3" xfId="0" applyNumberFormat="1" applyFill="1" applyBorder="1"/>
    <xf numFmtId="0" fontId="0" fillId="22" borderId="5" xfId="0" applyFill="1" applyBorder="1"/>
    <xf numFmtId="0" fontId="0" fillId="0" borderId="2" xfId="0" applyBorder="1"/>
    <xf numFmtId="0" fontId="0" fillId="7" borderId="1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1" fillId="7" borderId="0" xfId="0" applyFont="1" applyFill="1" applyBorder="1"/>
    <xf numFmtId="0" fontId="5" fillId="7" borderId="0" xfId="0" applyFont="1" applyFill="1"/>
    <xf numFmtId="0" fontId="5" fillId="7" borderId="0" xfId="0" applyFont="1" applyFill="1" applyBorder="1"/>
    <xf numFmtId="0" fontId="0" fillId="7" borderId="2" xfId="0" applyFont="1" applyFill="1" applyBorder="1" applyAlignment="1">
      <alignment horizontal="center" vertical="center"/>
    </xf>
    <xf numFmtId="0" fontId="0" fillId="3" borderId="1" xfId="0" applyFill="1" applyBorder="1"/>
    <xf numFmtId="15" fontId="0" fillId="7" borderId="0" xfId="0" applyNumberFormat="1" applyFill="1"/>
    <xf numFmtId="0" fontId="0" fillId="7" borderId="0" xfId="0" applyFill="1" applyAlignment="1">
      <alignment horizontal="left" vertical="top"/>
    </xf>
    <xf numFmtId="0" fontId="11" fillId="7" borderId="0" xfId="0" applyFont="1" applyFill="1" applyBorder="1" applyAlignment="1">
      <alignment horizontal="left" wrapText="1"/>
    </xf>
    <xf numFmtId="0" fontId="9" fillId="7" borderId="0" xfId="0" applyFont="1" applyFill="1" applyBorder="1" applyAlignment="1">
      <alignment wrapText="1"/>
    </xf>
    <xf numFmtId="0" fontId="11" fillId="7" borderId="0" xfId="0" applyFont="1" applyFill="1" applyBorder="1" applyAlignment="1">
      <alignment horizontal="left"/>
    </xf>
    <xf numFmtId="0" fontId="11" fillId="7" borderId="0" xfId="0" applyFont="1" applyFill="1" applyBorder="1"/>
    <xf numFmtId="0" fontId="0" fillId="0" borderId="1" xfId="0" applyBorder="1"/>
    <xf numFmtId="0" fontId="0" fillId="4" borderId="1" xfId="0" applyFill="1" applyBorder="1"/>
    <xf numFmtId="0" fontId="11" fillId="24" borderId="1" xfId="0" applyFont="1" applyFill="1" applyBorder="1"/>
    <xf numFmtId="0" fontId="0" fillId="18" borderId="1" xfId="0" applyFill="1" applyBorder="1"/>
    <xf numFmtId="0" fontId="0" fillId="6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7" borderId="1" xfId="0" applyFill="1" applyBorder="1"/>
    <xf numFmtId="0" fontId="0" fillId="18" borderId="1" xfId="0" applyFont="1" applyFill="1" applyBorder="1"/>
    <xf numFmtId="0" fontId="0" fillId="2" borderId="1" xfId="0" applyFill="1" applyBorder="1"/>
    <xf numFmtId="0" fontId="0" fillId="5" borderId="0" xfId="0" applyFill="1"/>
    <xf numFmtId="0" fontId="0" fillId="5" borderId="1" xfId="0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readingOrder="1"/>
    </xf>
    <xf numFmtId="15" fontId="0" fillId="19" borderId="5" xfId="0" applyNumberFormat="1" applyFill="1" applyBorder="1" applyAlignment="1">
      <alignment horizontal="center" vertical="center"/>
    </xf>
    <xf numFmtId="15" fontId="0" fillId="19" borderId="6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12" fillId="24" borderId="1" xfId="0" applyFont="1" applyFill="1" applyBorder="1"/>
    <xf numFmtId="0" fontId="0" fillId="2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vertical="center" wrapText="1"/>
    </xf>
    <xf numFmtId="15" fontId="0" fillId="5" borderId="1" xfId="0" applyNumberForma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13" fillId="21" borderId="0" xfId="0" applyFont="1" applyFill="1" applyBorder="1"/>
    <xf numFmtId="0" fontId="0" fillId="19" borderId="4" xfId="0" applyFill="1" applyBorder="1"/>
    <xf numFmtId="0" fontId="11" fillId="4" borderId="6" xfId="0" applyFont="1" applyFill="1" applyBorder="1"/>
    <xf numFmtId="0" fontId="11" fillId="24" borderId="6" xfId="0" applyFont="1" applyFill="1" applyBorder="1"/>
    <xf numFmtId="0" fontId="8" fillId="18" borderId="1" xfId="0" applyFont="1" applyFill="1" applyBorder="1" applyAlignment="1">
      <alignment horizontal="left" vertical="center"/>
    </xf>
    <xf numFmtId="0" fontId="10" fillId="3" borderId="21" xfId="0" applyFont="1" applyFill="1" applyBorder="1" applyAlignment="1">
      <alignment wrapText="1"/>
    </xf>
    <xf numFmtId="0" fontId="10" fillId="3" borderId="16" xfId="0" applyFont="1" applyFill="1" applyBorder="1" applyAlignment="1">
      <alignment wrapText="1"/>
    </xf>
    <xf numFmtId="0" fontId="8" fillId="6" borderId="21" xfId="0" applyFont="1" applyFill="1" applyBorder="1" applyAlignment="1">
      <alignment horizontal="center" vertical="center"/>
    </xf>
    <xf numFmtId="0" fontId="12" fillId="24" borderId="6" xfId="0" applyFont="1" applyFill="1" applyBorder="1"/>
    <xf numFmtId="0" fontId="0" fillId="24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5" xfId="0" applyFill="1" applyBorder="1" applyAlignment="1">
      <alignment vertical="center" wrapText="1"/>
    </xf>
    <xf numFmtId="0" fontId="11" fillId="20" borderId="5" xfId="0" applyFont="1" applyFill="1" applyBorder="1" applyAlignment="1">
      <alignment horizontal="center" vertical="center"/>
    </xf>
    <xf numFmtId="15" fontId="0" fillId="5" borderId="5" xfId="0" applyNumberFormat="1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16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7" fillId="18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left" vertical="top" wrapText="1"/>
    </xf>
    <xf numFmtId="0" fontId="8" fillId="7" borderId="0" xfId="0" applyFont="1" applyFill="1" applyBorder="1" applyAlignment="1">
      <alignment horizontal="center" vertical="center"/>
    </xf>
    <xf numFmtId="0" fontId="0" fillId="7" borderId="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readingOrder="1"/>
    </xf>
    <xf numFmtId="0" fontId="6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readingOrder="1"/>
    </xf>
    <xf numFmtId="0" fontId="2" fillId="5" borderId="1" xfId="1" applyFill="1" applyBorder="1" applyAlignment="1">
      <alignment vertical="center"/>
    </xf>
    <xf numFmtId="0" fontId="16" fillId="18" borderId="1" xfId="0" applyFont="1" applyFill="1" applyBorder="1" applyAlignment="1">
      <alignment horizontal="left" vertical="center"/>
    </xf>
    <xf numFmtId="0" fontId="0" fillId="18" borderId="1" xfId="0" applyFill="1" applyBorder="1" applyAlignment="1">
      <alignment horizontal="left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0" fillId="18" borderId="5" xfId="0" applyFill="1" applyBorder="1" applyAlignment="1">
      <alignment horizontal="center"/>
    </xf>
    <xf numFmtId="0" fontId="17" fillId="7" borderId="0" xfId="0" applyFont="1" applyFill="1" applyAlignment="1">
      <alignment horizontal="center"/>
    </xf>
    <xf numFmtId="0" fontId="16" fillId="18" borderId="1" xfId="0" applyFont="1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0" fillId="19" borderId="5" xfId="0" applyFill="1" applyBorder="1" applyAlignment="1">
      <alignment horizontal="center" vertical="center" wrapText="1"/>
    </xf>
    <xf numFmtId="0" fontId="0" fillId="19" borderId="6" xfId="0" applyFill="1" applyBorder="1" applyAlignment="1">
      <alignment horizontal="center" vertical="center" wrapText="1"/>
    </xf>
    <xf numFmtId="0" fontId="0" fillId="19" borderId="5" xfId="0" applyFill="1" applyBorder="1" applyAlignment="1">
      <alignment horizontal="center" wrapText="1"/>
    </xf>
    <xf numFmtId="0" fontId="0" fillId="19" borderId="6" xfId="0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5" fontId="0" fillId="19" borderId="5" xfId="0" applyNumberFormat="1" applyFill="1" applyBorder="1" applyAlignment="1">
      <alignment horizontal="center" vertical="center"/>
    </xf>
    <xf numFmtId="0" fontId="0" fillId="19" borderId="6" xfId="0" applyFill="1" applyBorder="1" applyAlignment="1">
      <alignment horizontal="center" vertical="center"/>
    </xf>
    <xf numFmtId="1" fontId="0" fillId="19" borderId="5" xfId="0" applyNumberFormat="1" applyFill="1" applyBorder="1" applyAlignment="1">
      <alignment horizontal="center" vertical="center"/>
    </xf>
    <xf numFmtId="1" fontId="0" fillId="19" borderId="6" xfId="0" applyNumberFormat="1" applyFill="1" applyBorder="1" applyAlignment="1">
      <alignment horizontal="center" vertical="center"/>
    </xf>
    <xf numFmtId="15" fontId="0" fillId="19" borderId="6" xfId="0" applyNumberForma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left" vertical="center"/>
    </xf>
    <xf numFmtId="0" fontId="11" fillId="20" borderId="3" xfId="0" applyFont="1" applyFill="1" applyBorder="1" applyAlignment="1">
      <alignment horizontal="left"/>
    </xf>
    <xf numFmtId="0" fontId="11" fillId="20" borderId="9" xfId="0" applyFont="1" applyFill="1" applyBorder="1" applyAlignment="1">
      <alignment horizontal="left"/>
    </xf>
    <xf numFmtId="0" fontId="11" fillId="20" borderId="4" xfId="0" applyFont="1" applyFill="1" applyBorder="1" applyAlignment="1">
      <alignment horizontal="left"/>
    </xf>
    <xf numFmtId="0" fontId="11" fillId="20" borderId="3" xfId="0" applyFont="1" applyFill="1" applyBorder="1" applyAlignment="1">
      <alignment horizontal="left" wrapText="1"/>
    </xf>
    <xf numFmtId="0" fontId="11" fillId="20" borderId="9" xfId="0" applyFont="1" applyFill="1" applyBorder="1" applyAlignment="1">
      <alignment horizontal="left" wrapText="1"/>
    </xf>
    <xf numFmtId="0" fontId="11" fillId="20" borderId="4" xfId="0" applyFont="1" applyFill="1" applyBorder="1" applyAlignment="1">
      <alignment horizontal="left" wrapText="1"/>
    </xf>
    <xf numFmtId="0" fontId="6" fillId="20" borderId="3" xfId="0" applyFont="1" applyFill="1" applyBorder="1" applyAlignment="1">
      <alignment horizontal="left" wrapText="1"/>
    </xf>
    <xf numFmtId="0" fontId="6" fillId="20" borderId="9" xfId="0" applyFont="1" applyFill="1" applyBorder="1" applyAlignment="1">
      <alignment horizontal="left" wrapText="1"/>
    </xf>
    <xf numFmtId="0" fontId="6" fillId="20" borderId="4" xfId="0" applyFont="1" applyFill="1" applyBorder="1" applyAlignment="1">
      <alignment horizontal="left" wrapTex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1" fillId="20" borderId="3" xfId="0" applyFont="1" applyFill="1" applyBorder="1" applyAlignment="1">
      <alignment horizontal="left" vertical="center"/>
    </xf>
    <xf numFmtId="0" fontId="11" fillId="20" borderId="4" xfId="0" applyFont="1" applyFill="1" applyBorder="1" applyAlignment="1">
      <alignment horizontal="left" vertical="center"/>
    </xf>
    <xf numFmtId="0" fontId="11" fillId="20" borderId="3" xfId="0" applyFont="1" applyFill="1" applyBorder="1" applyAlignment="1">
      <alignment horizontal="left" vertical="center" wrapText="1"/>
    </xf>
    <xf numFmtId="0" fontId="11" fillId="20" borderId="4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9">
    <dxf>
      <font>
        <b/>
        <i val="0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C6EFCE"/>
        </patternFill>
      </fill>
    </dxf>
    <dxf>
      <font>
        <b/>
        <i val="0"/>
        <color theme="1" tint="4.9989318521683403E-2"/>
      </font>
      <fill>
        <patternFill patternType="solid">
          <bgColor rgb="FFFFEB9C"/>
        </patternFill>
      </fill>
    </dxf>
    <dxf>
      <font>
        <b/>
        <i val="0"/>
        <color theme="1" tint="4.9989318521683403E-2"/>
      </font>
      <fill>
        <patternFill patternType="solid">
          <bgColor rgb="FFFFEB9C"/>
        </patternFill>
      </fill>
    </dxf>
    <dxf>
      <font>
        <b/>
        <i val="0"/>
        <color theme="1"/>
      </font>
      <fill>
        <patternFill patternType="solid">
          <bgColor rgb="FFC6EFCE"/>
        </patternFill>
      </fill>
    </dxf>
    <dxf>
      <font>
        <b/>
        <i val="0"/>
      </font>
      <fill>
        <patternFill>
          <bgColor rgb="FFFFC7CE"/>
        </patternFill>
      </fill>
    </dxf>
    <dxf>
      <font>
        <b/>
        <i val="0"/>
        <color theme="1" tint="4.9989318521683403E-2"/>
      </font>
      <fill>
        <patternFill patternType="solid">
          <bgColor rgb="FFFFEB9C"/>
        </patternFill>
      </fill>
    </dxf>
    <dxf>
      <font>
        <b/>
        <i val="0"/>
        <color theme="1"/>
      </font>
      <fill>
        <patternFill patternType="solid">
          <bgColor rgb="FFC6EFCE"/>
        </patternFill>
      </fill>
    </dxf>
    <dxf>
      <font>
        <b/>
        <i val="0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57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pilwaghumba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5"/>
  <sheetViews>
    <sheetView workbookViewId="0">
      <selection activeCell="C9" sqref="C9"/>
    </sheetView>
  </sheetViews>
  <sheetFormatPr defaultRowHeight="15"/>
  <cols>
    <col min="1" max="1" width="3" style="128" customWidth="1"/>
    <col min="2" max="2" width="30.85546875" style="128" bestFit="1" customWidth="1"/>
    <col min="3" max="3" width="18.28515625" style="128" bestFit="1" customWidth="1"/>
    <col min="4" max="4" width="48.42578125" style="128" bestFit="1" customWidth="1"/>
    <col min="5" max="16384" width="9.140625" style="128"/>
  </cols>
  <sheetData>
    <row r="2" spans="2:10" ht="15.75">
      <c r="B2" s="187" t="s">
        <v>0</v>
      </c>
      <c r="C2" s="188"/>
      <c r="D2" s="188"/>
      <c r="E2" s="10"/>
      <c r="F2" s="10"/>
      <c r="G2" s="10"/>
      <c r="H2" s="10"/>
      <c r="I2" s="10"/>
      <c r="J2" s="10"/>
    </row>
    <row r="3" spans="2:10" ht="15.75">
      <c r="B3" s="169" t="s">
        <v>1</v>
      </c>
      <c r="C3" s="131"/>
      <c r="D3" s="131"/>
      <c r="E3" s="10"/>
      <c r="F3" s="10"/>
      <c r="G3" s="10"/>
      <c r="H3" s="10"/>
      <c r="I3" s="10"/>
      <c r="J3" s="10"/>
    </row>
    <row r="4" spans="2:10" ht="27" customHeight="1">
      <c r="B4" s="189" t="s">
        <v>2</v>
      </c>
      <c r="C4" s="184"/>
      <c r="D4" s="184"/>
      <c r="E4" s="10"/>
      <c r="F4" s="10"/>
      <c r="G4" s="10"/>
      <c r="H4" s="10"/>
      <c r="I4" s="10"/>
      <c r="J4" s="10"/>
    </row>
    <row r="5" spans="2:10" ht="18.75" customHeight="1">
      <c r="B5" s="1" t="s">
        <v>3</v>
      </c>
      <c r="C5" s="190" t="s">
        <v>4</v>
      </c>
      <c r="D5" s="191"/>
      <c r="E5" s="10"/>
      <c r="F5" s="10"/>
      <c r="G5" s="10"/>
      <c r="H5" s="10"/>
      <c r="I5" s="10"/>
      <c r="J5" s="10"/>
    </row>
    <row r="6" spans="2:10" ht="20.25" customHeight="1">
      <c r="B6" s="192" t="s">
        <v>5</v>
      </c>
      <c r="C6" s="2" t="s">
        <v>6</v>
      </c>
      <c r="D6" s="150" t="s">
        <v>7</v>
      </c>
      <c r="E6" s="10"/>
      <c r="F6" s="10"/>
      <c r="G6" s="10"/>
      <c r="H6" s="10"/>
      <c r="I6" s="10"/>
      <c r="J6" s="10"/>
    </row>
    <row r="7" spans="2:10" ht="21.75" customHeight="1">
      <c r="B7" s="192"/>
      <c r="C7" s="2" t="s">
        <v>8</v>
      </c>
      <c r="D7" s="150" t="s">
        <v>9</v>
      </c>
      <c r="E7" s="10"/>
      <c r="F7" s="10"/>
      <c r="G7" s="10"/>
      <c r="H7" s="10"/>
      <c r="I7" s="10"/>
      <c r="J7" s="10"/>
    </row>
    <row r="8" spans="2:10" ht="21" customHeight="1">
      <c r="B8" s="192" t="s">
        <v>10</v>
      </c>
      <c r="C8" s="2" t="s">
        <v>11</v>
      </c>
      <c r="D8" s="150" t="s">
        <v>12</v>
      </c>
      <c r="E8" s="10"/>
      <c r="F8" s="10"/>
      <c r="G8" s="10"/>
      <c r="H8" s="10"/>
      <c r="I8" s="10"/>
      <c r="J8" s="10"/>
    </row>
    <row r="9" spans="2:10" ht="30.75">
      <c r="B9" s="192"/>
      <c r="C9" s="3" t="s">
        <v>13</v>
      </c>
      <c r="D9" s="150" t="s">
        <v>14</v>
      </c>
      <c r="E9" s="10"/>
      <c r="F9" s="10"/>
      <c r="G9" s="10"/>
      <c r="H9" s="10"/>
      <c r="I9" s="10"/>
      <c r="J9" s="10"/>
    </row>
    <row r="10" spans="2:10" ht="22.5" customHeight="1">
      <c r="B10" s="151" t="s">
        <v>15</v>
      </c>
      <c r="C10" s="193" t="s">
        <v>16</v>
      </c>
      <c r="D10" s="193"/>
      <c r="E10" s="10"/>
      <c r="F10" s="10"/>
      <c r="G10" s="10"/>
      <c r="H10" s="10"/>
      <c r="I10" s="10"/>
      <c r="J10" s="10"/>
    </row>
    <row r="11" spans="2:10" ht="21.75" customHeight="1">
      <c r="B11" s="151" t="s">
        <v>17</v>
      </c>
      <c r="C11" s="191" t="s">
        <v>18</v>
      </c>
      <c r="D11" s="191"/>
      <c r="E11" s="10"/>
      <c r="F11" s="10"/>
      <c r="G11" s="10"/>
      <c r="H11" s="10"/>
      <c r="I11" s="10"/>
      <c r="J11" s="10"/>
    </row>
    <row r="12" spans="2:10" ht="27" customHeight="1">
      <c r="B12" s="183" t="s">
        <v>19</v>
      </c>
      <c r="C12" s="184"/>
      <c r="D12" s="184"/>
      <c r="E12" s="10"/>
      <c r="F12" s="10"/>
      <c r="G12" s="10"/>
      <c r="H12" s="10"/>
      <c r="I12" s="10"/>
      <c r="J12" s="10"/>
    </row>
    <row r="13" spans="2:10" ht="87.75" customHeight="1">
      <c r="B13" s="151" t="s">
        <v>20</v>
      </c>
      <c r="C13" s="185" t="s">
        <v>21</v>
      </c>
      <c r="D13" s="185"/>
      <c r="E13" s="10"/>
      <c r="F13" s="10"/>
      <c r="G13" s="10"/>
      <c r="H13" s="10"/>
      <c r="I13" s="10"/>
      <c r="J13" s="10"/>
    </row>
    <row r="14" spans="2:10" ht="63" customHeight="1">
      <c r="B14" s="151" t="s">
        <v>22</v>
      </c>
      <c r="C14" s="186" t="s">
        <v>23</v>
      </c>
      <c r="D14" s="186"/>
      <c r="E14" s="10"/>
      <c r="F14" s="10"/>
      <c r="G14" s="10"/>
      <c r="H14" s="10"/>
      <c r="I14" s="10"/>
      <c r="J14" s="10"/>
    </row>
    <row r="15" spans="2:10" ht="21.75" customHeight="1">
      <c r="B15" s="10"/>
      <c r="C15" s="10"/>
      <c r="D15" s="10"/>
      <c r="E15" s="10"/>
      <c r="F15" s="10"/>
      <c r="G15" s="10"/>
      <c r="H15" s="10"/>
      <c r="I15" s="10"/>
      <c r="J15" s="10"/>
    </row>
    <row r="16" spans="2:10">
      <c r="B16" s="10"/>
      <c r="C16" s="10"/>
      <c r="D16" s="10"/>
      <c r="E16" s="10"/>
      <c r="F16" s="10"/>
      <c r="G16" s="10"/>
      <c r="H16" s="10"/>
      <c r="I16" s="10"/>
      <c r="J16" s="10"/>
    </row>
    <row r="17" spans="2:10">
      <c r="B17" s="10"/>
      <c r="C17" s="10"/>
      <c r="D17" s="10"/>
      <c r="E17" s="10"/>
      <c r="F17" s="10"/>
      <c r="G17" s="10"/>
      <c r="H17" s="10"/>
      <c r="I17" s="10"/>
      <c r="J17" s="10"/>
    </row>
    <row r="18" spans="2:10" ht="15.75">
      <c r="C18" s="129"/>
    </row>
    <row r="19" spans="2:10" ht="15.75">
      <c r="C19" s="129"/>
    </row>
    <row r="20" spans="2:10" ht="15.75">
      <c r="C20" s="129"/>
    </row>
    <row r="21" spans="2:10" ht="15.75">
      <c r="C21" s="130"/>
    </row>
    <row r="22" spans="2:10" ht="15.75">
      <c r="C22" s="129"/>
    </row>
    <row r="23" spans="2:10" ht="15.75">
      <c r="C23" s="129"/>
    </row>
    <row r="24" spans="2:10" ht="15.75">
      <c r="C24" s="129"/>
    </row>
    <row r="25" spans="2:10" ht="15.75">
      <c r="C25" s="129"/>
    </row>
  </sheetData>
  <mergeCells count="10">
    <mergeCell ref="B12:D12"/>
    <mergeCell ref="C13:D13"/>
    <mergeCell ref="C14:D14"/>
    <mergeCell ref="B2:D2"/>
    <mergeCell ref="B4:D4"/>
    <mergeCell ref="C5:D5"/>
    <mergeCell ref="B6:B7"/>
    <mergeCell ref="B8:B9"/>
    <mergeCell ref="C10:D10"/>
    <mergeCell ref="C11:D11"/>
  </mergeCells>
  <hyperlinks>
    <hyperlink ref="C10:D10" r:id="rId1" display="kapilwaghumbare@gmail.com" xr:uid="{98940F7F-A70A-4EAB-B9C1-9EA723C74BFA}"/>
  </hyperlinks>
  <printOptions horizontalCentered="1"/>
  <pageMargins left="1" right="1" top="1" bottom="1" header="0.5" footer="0.5"/>
  <pageSetup scale="105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2417-E3F3-4566-8FAC-C728720A89FA}">
  <sheetPr>
    <pageSetUpPr fitToPage="1"/>
  </sheetPr>
  <dimension ref="A2:BV48"/>
  <sheetViews>
    <sheetView workbookViewId="0">
      <pane xSplit="3" ySplit="5" topLeftCell="D6" activePane="bottomRight" state="frozen"/>
      <selection pane="bottomRight" activeCell="E21" sqref="E21"/>
      <selection pane="bottomLeft"/>
      <selection pane="topRight"/>
    </sheetView>
  </sheetViews>
  <sheetFormatPr defaultColWidth="7.140625" defaultRowHeight="15"/>
  <cols>
    <col min="1" max="1" width="3.28515625" style="10" customWidth="1"/>
    <col min="2" max="2" width="7.42578125" style="10" bestFit="1" customWidth="1"/>
    <col min="3" max="3" width="31" style="10" bestFit="1" customWidth="1"/>
    <col min="4" max="5" width="10" style="10" bestFit="1" customWidth="1"/>
    <col min="6" max="9" width="9.85546875" style="10" bestFit="1" customWidth="1"/>
    <col min="10" max="14" width="10.28515625" style="10" bestFit="1" customWidth="1"/>
    <col min="15" max="18" width="10.140625" style="10" bestFit="1" customWidth="1"/>
    <col min="19" max="19" width="9.5703125" style="10" bestFit="1" customWidth="1"/>
    <col min="20" max="20" width="10.140625" style="10" bestFit="1" customWidth="1"/>
    <col min="21" max="23" width="9.5703125" style="10" bestFit="1" customWidth="1"/>
    <col min="24" max="27" width="10" style="10" bestFit="1" customWidth="1"/>
    <col min="28" max="31" width="10.42578125" style="10" bestFit="1" customWidth="1"/>
    <col min="32" max="35" width="9.85546875" style="10" bestFit="1" customWidth="1"/>
    <col min="36" max="40" width="10.5703125" style="10" bestFit="1" customWidth="1"/>
    <col min="41" max="43" width="9.7109375" style="10" bestFit="1" customWidth="1"/>
    <col min="44" max="48" width="9.140625" style="10" bestFit="1" customWidth="1"/>
    <col min="49" max="52" width="10.140625" style="10" bestFit="1" customWidth="1"/>
    <col min="53" max="56" width="10" style="10" bestFit="1" customWidth="1"/>
    <col min="57" max="61" width="9.85546875" style="10" bestFit="1" customWidth="1"/>
    <col min="62" max="65" width="10.28515625" style="10" bestFit="1" customWidth="1"/>
    <col min="66" max="69" width="10.140625" style="10" bestFit="1" customWidth="1"/>
    <col min="70" max="74" width="9.5703125" style="10" bestFit="1" customWidth="1"/>
    <col min="75" max="16384" width="7.140625" style="10"/>
  </cols>
  <sheetData>
    <row r="2" spans="2:74" ht="18.75">
      <c r="B2" s="194" t="s">
        <v>1</v>
      </c>
      <c r="C2" s="195"/>
    </row>
    <row r="3" spans="2:74">
      <c r="B3" s="199" t="s">
        <v>24</v>
      </c>
      <c r="C3" s="201" t="s">
        <v>25</v>
      </c>
      <c r="D3" s="205" t="s">
        <v>26</v>
      </c>
      <c r="E3" s="205"/>
      <c r="F3" s="205"/>
      <c r="G3" s="205"/>
      <c r="H3" s="205"/>
      <c r="I3" s="205"/>
      <c r="J3" s="205"/>
      <c r="K3" s="205" t="s">
        <v>27</v>
      </c>
      <c r="L3" s="205"/>
      <c r="M3" s="205"/>
      <c r="N3" s="205"/>
      <c r="O3" s="205"/>
      <c r="P3" s="205"/>
      <c r="Q3" s="205"/>
      <c r="R3" s="205" t="s">
        <v>28</v>
      </c>
      <c r="S3" s="205"/>
      <c r="T3" s="205"/>
      <c r="U3" s="205"/>
      <c r="V3" s="205"/>
      <c r="W3" s="205"/>
      <c r="X3" s="205"/>
      <c r="Y3" s="205" t="s">
        <v>29</v>
      </c>
      <c r="Z3" s="205"/>
      <c r="AA3" s="205"/>
      <c r="AB3" s="205"/>
      <c r="AC3" s="205"/>
      <c r="AD3" s="205"/>
      <c r="AE3" s="205"/>
      <c r="AF3" s="205" t="s">
        <v>30</v>
      </c>
      <c r="AG3" s="205"/>
      <c r="AH3" s="205"/>
      <c r="AI3" s="205"/>
      <c r="AJ3" s="205"/>
      <c r="AK3" s="205"/>
      <c r="AL3" s="205"/>
      <c r="AM3" s="205" t="s">
        <v>31</v>
      </c>
      <c r="AN3" s="205"/>
      <c r="AO3" s="9"/>
      <c r="AP3" s="9"/>
      <c r="AQ3" s="9"/>
      <c r="AR3" s="9"/>
      <c r="AS3" s="9"/>
    </row>
    <row r="4" spans="2:74" ht="15.75" customHeight="1">
      <c r="B4" s="200"/>
      <c r="C4" s="202"/>
      <c r="D4" s="70" t="s">
        <v>32</v>
      </c>
      <c r="E4" s="70" t="s">
        <v>33</v>
      </c>
      <c r="F4" s="70" t="s">
        <v>34</v>
      </c>
      <c r="G4" s="70" t="s">
        <v>35</v>
      </c>
      <c r="H4" s="70" t="s">
        <v>36</v>
      </c>
      <c r="I4" s="70" t="s">
        <v>37</v>
      </c>
      <c r="J4" s="70" t="s">
        <v>38</v>
      </c>
      <c r="K4" s="70" t="s">
        <v>39</v>
      </c>
      <c r="L4" s="70" t="s">
        <v>40</v>
      </c>
      <c r="M4" s="70" t="s">
        <v>41</v>
      </c>
      <c r="N4" s="70" t="s">
        <v>42</v>
      </c>
      <c r="O4" s="70" t="s">
        <v>43</v>
      </c>
      <c r="P4" s="70" t="s">
        <v>44</v>
      </c>
      <c r="Q4" s="70" t="s">
        <v>45</v>
      </c>
      <c r="R4" s="70" t="s">
        <v>46</v>
      </c>
      <c r="S4" s="70" t="s">
        <v>47</v>
      </c>
      <c r="T4" s="70" t="s">
        <v>48</v>
      </c>
      <c r="U4" s="70" t="s">
        <v>49</v>
      </c>
      <c r="V4" s="70" t="s">
        <v>50</v>
      </c>
      <c r="W4" s="70" t="s">
        <v>51</v>
      </c>
      <c r="X4" s="70" t="s">
        <v>52</v>
      </c>
      <c r="Y4" s="70" t="s">
        <v>53</v>
      </c>
      <c r="Z4" s="70" t="s">
        <v>54</v>
      </c>
      <c r="AA4" s="70" t="s">
        <v>55</v>
      </c>
      <c r="AB4" s="70" t="s">
        <v>56</v>
      </c>
      <c r="AC4" s="70" t="s">
        <v>57</v>
      </c>
      <c r="AD4" s="70" t="s">
        <v>58</v>
      </c>
      <c r="AE4" s="70" t="s">
        <v>59</v>
      </c>
      <c r="AF4" s="70" t="s">
        <v>60</v>
      </c>
      <c r="AG4" s="70" t="s">
        <v>61</v>
      </c>
      <c r="AH4" s="70" t="s">
        <v>62</v>
      </c>
      <c r="AI4" s="70" t="s">
        <v>63</v>
      </c>
      <c r="AJ4" s="70" t="s">
        <v>64</v>
      </c>
      <c r="AK4" s="70" t="s">
        <v>65</v>
      </c>
      <c r="AL4" s="70" t="s">
        <v>66</v>
      </c>
      <c r="AM4" s="70" t="s">
        <v>67</v>
      </c>
      <c r="AN4" s="70" t="s">
        <v>68</v>
      </c>
    </row>
    <row r="5" spans="2:74" ht="15.75">
      <c r="B5" s="200"/>
      <c r="C5" s="203"/>
      <c r="D5" s="71">
        <v>45923</v>
      </c>
      <c r="E5" s="71">
        <v>45926</v>
      </c>
      <c r="F5" s="71">
        <v>45933</v>
      </c>
      <c r="G5" s="71">
        <v>45940</v>
      </c>
      <c r="H5" s="71">
        <v>45947</v>
      </c>
      <c r="I5" s="71">
        <v>45954</v>
      </c>
      <c r="J5" s="71">
        <v>45961</v>
      </c>
      <c r="K5" s="71">
        <v>45968</v>
      </c>
      <c r="L5" s="71">
        <v>45975</v>
      </c>
      <c r="M5" s="71">
        <v>45982</v>
      </c>
      <c r="N5" s="71">
        <v>45989</v>
      </c>
      <c r="O5" s="71">
        <v>45996</v>
      </c>
      <c r="P5" s="71">
        <v>46003</v>
      </c>
      <c r="Q5" s="71">
        <v>46010</v>
      </c>
      <c r="R5" s="71">
        <v>46017</v>
      </c>
      <c r="S5" s="71">
        <v>46024</v>
      </c>
      <c r="T5" s="71">
        <v>46031</v>
      </c>
      <c r="U5" s="71">
        <v>46038</v>
      </c>
      <c r="V5" s="71">
        <v>46045</v>
      </c>
      <c r="W5" s="71">
        <v>46052</v>
      </c>
      <c r="X5" s="71">
        <v>46059</v>
      </c>
      <c r="Y5" s="71">
        <v>46066</v>
      </c>
      <c r="Z5" s="71">
        <v>46073</v>
      </c>
      <c r="AA5" s="71">
        <v>46080</v>
      </c>
      <c r="AB5" s="71">
        <v>46087</v>
      </c>
      <c r="AC5" s="71">
        <v>46094</v>
      </c>
      <c r="AD5" s="71">
        <v>46101</v>
      </c>
      <c r="AE5" s="71">
        <v>46108</v>
      </c>
      <c r="AF5" s="71">
        <v>46115</v>
      </c>
      <c r="AG5" s="71">
        <v>46122</v>
      </c>
      <c r="AH5" s="71">
        <v>46129</v>
      </c>
      <c r="AI5" s="71">
        <v>46136</v>
      </c>
      <c r="AJ5" s="71">
        <v>46143</v>
      </c>
      <c r="AK5" s="71">
        <v>46150</v>
      </c>
      <c r="AL5" s="71">
        <v>46157</v>
      </c>
      <c r="AM5" s="71">
        <v>46164</v>
      </c>
      <c r="AN5" s="71">
        <v>46171</v>
      </c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</row>
    <row r="6" spans="2:74" ht="21.75" customHeight="1">
      <c r="B6" s="204">
        <v>1</v>
      </c>
      <c r="C6" s="62" t="s">
        <v>69</v>
      </c>
      <c r="D6" s="8"/>
      <c r="E6" s="8"/>
      <c r="F6" s="8"/>
      <c r="G6" s="8"/>
      <c r="H6" s="9"/>
      <c r="I6" s="28"/>
      <c r="J6" s="9"/>
      <c r="K6" s="38"/>
      <c r="L6" s="33"/>
      <c r="P6" s="42"/>
      <c r="U6" s="42"/>
      <c r="AA6" s="42"/>
      <c r="AI6" s="42"/>
      <c r="AL6" s="46"/>
      <c r="AN6" s="72"/>
    </row>
    <row r="7" spans="2:74">
      <c r="B7" s="197"/>
      <c r="C7" s="67" t="s">
        <v>70</v>
      </c>
      <c r="D7" s="94"/>
      <c r="E7" s="26"/>
      <c r="F7" s="26"/>
      <c r="G7" s="26"/>
      <c r="H7" s="26"/>
      <c r="I7" s="110"/>
      <c r="J7" s="9"/>
      <c r="K7" s="31"/>
      <c r="L7" s="33"/>
      <c r="P7" s="42"/>
      <c r="U7" s="42"/>
      <c r="AA7" s="42"/>
      <c r="AI7" s="42"/>
      <c r="AL7" s="46"/>
      <c r="AN7" s="72"/>
    </row>
    <row r="8" spans="2:74">
      <c r="B8" s="196">
        <v>2</v>
      </c>
      <c r="C8" s="62" t="s">
        <v>71</v>
      </c>
      <c r="D8" s="11"/>
      <c r="E8" s="11"/>
      <c r="F8" s="12"/>
      <c r="G8" s="11"/>
      <c r="H8" s="9"/>
      <c r="I8" s="28"/>
      <c r="J8" s="9"/>
      <c r="K8" s="31"/>
      <c r="L8" s="33"/>
      <c r="P8" s="42"/>
      <c r="U8" s="42"/>
      <c r="AA8" s="42"/>
      <c r="AI8" s="42"/>
      <c r="AL8" s="46"/>
      <c r="AN8" s="72"/>
    </row>
    <row r="9" spans="2:74">
      <c r="B9" s="198"/>
      <c r="C9" s="68" t="s">
        <v>72</v>
      </c>
      <c r="D9" s="11"/>
      <c r="E9" s="13"/>
      <c r="F9" s="12"/>
      <c r="G9" s="11"/>
      <c r="H9" s="9"/>
      <c r="I9" s="29"/>
      <c r="J9" s="34"/>
      <c r="K9" s="32"/>
      <c r="L9" s="35"/>
      <c r="P9" s="42"/>
      <c r="U9" s="42"/>
      <c r="AA9" s="42"/>
      <c r="AI9" s="42"/>
      <c r="AL9" s="46"/>
      <c r="AN9" s="72"/>
    </row>
    <row r="10" spans="2:74">
      <c r="B10" s="197"/>
      <c r="C10" s="59" t="s">
        <v>73</v>
      </c>
      <c r="D10" s="14"/>
      <c r="E10" s="14"/>
      <c r="F10" s="14"/>
      <c r="G10" s="14"/>
      <c r="H10" s="9"/>
      <c r="I10" s="29"/>
      <c r="J10" s="34"/>
      <c r="K10" s="32"/>
      <c r="L10" s="35"/>
      <c r="P10" s="42"/>
      <c r="U10" s="42"/>
      <c r="AA10" s="42"/>
      <c r="AI10" s="42"/>
      <c r="AL10" s="46"/>
      <c r="AN10" s="72"/>
    </row>
    <row r="11" spans="2:74">
      <c r="B11" s="196">
        <v>3</v>
      </c>
      <c r="C11" s="63" t="s">
        <v>74</v>
      </c>
      <c r="D11" s="11"/>
      <c r="E11" s="11"/>
      <c r="F11" s="12"/>
      <c r="G11" s="11"/>
      <c r="H11" s="9"/>
      <c r="I11" s="28"/>
      <c r="J11" s="9"/>
      <c r="K11" s="31"/>
      <c r="L11" s="33"/>
      <c r="P11" s="42"/>
      <c r="U11" s="42"/>
      <c r="AA11" s="42"/>
      <c r="AI11" s="42"/>
      <c r="AL11" s="46"/>
      <c r="AN11" s="72"/>
    </row>
    <row r="12" spans="2:74">
      <c r="B12" s="198"/>
      <c r="C12" s="68" t="s">
        <v>75</v>
      </c>
      <c r="D12" s="13"/>
      <c r="E12" s="13"/>
      <c r="F12" s="12"/>
      <c r="G12" s="11"/>
      <c r="H12" s="9"/>
      <c r="I12" s="28"/>
      <c r="J12" s="9"/>
      <c r="K12" s="39"/>
      <c r="L12" s="95"/>
      <c r="M12" s="36"/>
      <c r="N12" s="36"/>
      <c r="O12" s="36"/>
      <c r="P12" s="30"/>
      <c r="U12" s="42"/>
      <c r="AA12" s="42"/>
      <c r="AI12" s="42"/>
      <c r="AL12" s="46"/>
      <c r="AN12" s="72"/>
    </row>
    <row r="13" spans="2:74">
      <c r="B13" s="198"/>
      <c r="C13" s="59" t="s">
        <v>76</v>
      </c>
      <c r="D13" s="14"/>
      <c r="E13" s="14"/>
      <c r="F13" s="14"/>
      <c r="G13" s="14"/>
      <c r="H13" s="9"/>
      <c r="I13" s="28"/>
      <c r="J13" s="9"/>
      <c r="K13" s="39"/>
      <c r="L13" s="95"/>
      <c r="M13" s="36"/>
      <c r="N13" s="36"/>
      <c r="O13" s="36"/>
      <c r="P13" s="30"/>
      <c r="U13" s="42"/>
      <c r="AA13" s="42"/>
      <c r="AI13" s="42"/>
      <c r="AL13" s="46"/>
      <c r="AN13" s="72"/>
    </row>
    <row r="14" spans="2:74">
      <c r="B14" s="197"/>
      <c r="C14" s="59" t="s">
        <v>77</v>
      </c>
      <c r="D14" s="11"/>
      <c r="E14" s="11"/>
      <c r="F14" s="12"/>
      <c r="G14" s="11"/>
      <c r="H14" s="15"/>
      <c r="I14" s="28"/>
      <c r="J14" s="9"/>
      <c r="K14" s="31"/>
      <c r="L14" s="81"/>
      <c r="M14" s="30"/>
      <c r="N14"/>
      <c r="O14" s="27"/>
      <c r="P14" s="30"/>
      <c r="U14" s="42"/>
      <c r="AA14" s="42"/>
      <c r="AI14" s="42"/>
      <c r="AL14" s="46"/>
      <c r="AN14" s="72"/>
    </row>
    <row r="15" spans="2:74">
      <c r="B15" s="196">
        <v>4</v>
      </c>
      <c r="C15" s="64" t="s">
        <v>78</v>
      </c>
      <c r="D15" s="11"/>
      <c r="E15" s="11"/>
      <c r="F15" s="12"/>
      <c r="G15" s="11"/>
      <c r="H15" s="9"/>
      <c r="I15" s="28"/>
      <c r="J15" s="9"/>
      <c r="K15" s="31"/>
      <c r="L15" s="81"/>
      <c r="M15" s="42"/>
      <c r="N15" s="81"/>
      <c r="P15" s="42"/>
      <c r="U15" s="42"/>
      <c r="AA15" s="42"/>
      <c r="AI15" s="42"/>
      <c r="AL15" s="46"/>
      <c r="AN15" s="72"/>
    </row>
    <row r="16" spans="2:74">
      <c r="B16" s="198"/>
      <c r="C16" s="68" t="s">
        <v>79</v>
      </c>
      <c r="D16" s="11"/>
      <c r="E16" s="11"/>
      <c r="F16" s="12"/>
      <c r="G16" s="11"/>
      <c r="H16" s="9"/>
      <c r="I16" s="28"/>
      <c r="J16" s="9"/>
      <c r="K16" s="31"/>
      <c r="L16" s="81"/>
      <c r="M16" s="42"/>
      <c r="N16" s="81"/>
      <c r="P16" s="109"/>
      <c r="Q16" s="96"/>
      <c r="R16" s="96"/>
      <c r="S16" s="96"/>
      <c r="T16" s="96"/>
      <c r="U16" s="42"/>
      <c r="AA16" s="42"/>
      <c r="AI16" s="42"/>
      <c r="AL16" s="46"/>
      <c r="AN16" s="72"/>
    </row>
    <row r="17" spans="1:40">
      <c r="B17" s="198"/>
      <c r="C17" s="59" t="s">
        <v>76</v>
      </c>
      <c r="D17" s="14"/>
      <c r="E17" s="9"/>
      <c r="F17" s="14"/>
      <c r="G17" s="14"/>
      <c r="H17" s="9"/>
      <c r="I17" s="28"/>
      <c r="J17" s="9"/>
      <c r="K17" s="31"/>
      <c r="L17" s="81"/>
      <c r="M17" s="42"/>
      <c r="N17" s="81"/>
      <c r="P17" s="109"/>
      <c r="Q17" s="96"/>
      <c r="R17" s="96"/>
      <c r="S17" s="96"/>
      <c r="T17" s="96"/>
      <c r="U17" s="42"/>
      <c r="AA17" s="42"/>
      <c r="AI17" s="42"/>
      <c r="AL17" s="46"/>
      <c r="AN17" s="72"/>
    </row>
    <row r="18" spans="1:40">
      <c r="B18" s="197"/>
      <c r="C18" s="59" t="s">
        <v>77</v>
      </c>
      <c r="D18" s="11"/>
      <c r="E18" s="9"/>
      <c r="F18" s="12"/>
      <c r="G18" s="11"/>
      <c r="H18" s="9"/>
      <c r="I18" s="28"/>
      <c r="J18" s="9"/>
      <c r="K18" s="31"/>
      <c r="L18" s="81"/>
      <c r="M18" s="42"/>
      <c r="N18" s="81"/>
      <c r="P18" s="42"/>
      <c r="R18" s="43"/>
      <c r="S18" s="33"/>
      <c r="T18" s="97"/>
      <c r="U18" s="97"/>
      <c r="AA18" s="42"/>
      <c r="AI18" s="42"/>
      <c r="AL18" s="46"/>
      <c r="AN18" s="72"/>
    </row>
    <row r="19" spans="1:40">
      <c r="B19" s="196">
        <v>5</v>
      </c>
      <c r="C19" s="63" t="s">
        <v>80</v>
      </c>
      <c r="D19" s="13"/>
      <c r="E19" s="9"/>
      <c r="F19" s="12"/>
      <c r="G19" s="11"/>
      <c r="H19" s="9"/>
      <c r="I19" s="28"/>
      <c r="J19" s="9"/>
      <c r="K19" s="31"/>
      <c r="L19" s="81"/>
      <c r="M19" s="42"/>
      <c r="N19" s="81"/>
      <c r="P19" s="42"/>
      <c r="R19" s="41"/>
      <c r="S19" s="118"/>
      <c r="T19" s="42"/>
      <c r="U19" s="33"/>
      <c r="AA19" s="42"/>
      <c r="AI19" s="42"/>
      <c r="AL19" s="46"/>
      <c r="AN19" s="72"/>
    </row>
    <row r="20" spans="1:40" ht="15.75">
      <c r="B20" s="198"/>
      <c r="C20" s="68" t="s">
        <v>81</v>
      </c>
      <c r="D20" s="11"/>
      <c r="E20" s="16"/>
      <c r="F20" s="12"/>
      <c r="G20" s="11"/>
      <c r="H20" s="9"/>
      <c r="I20" s="28"/>
      <c r="J20" s="9"/>
      <c r="K20" s="31"/>
      <c r="L20" s="81"/>
      <c r="M20" s="42"/>
      <c r="N20" s="81"/>
      <c r="P20" s="42"/>
      <c r="R20" s="41"/>
      <c r="S20" s="116"/>
      <c r="T20" s="115"/>
      <c r="U20" s="99"/>
      <c r="V20" s="98"/>
      <c r="W20" s="98"/>
      <c r="X20" s="98"/>
      <c r="Y20" s="98"/>
      <c r="Z20" s="98"/>
      <c r="AA20" s="42"/>
      <c r="AI20" s="42"/>
      <c r="AL20" s="46"/>
      <c r="AN20" s="72"/>
    </row>
    <row r="21" spans="1:40">
      <c r="B21" s="198"/>
      <c r="C21" s="59" t="s">
        <v>76</v>
      </c>
      <c r="D21" s="14"/>
      <c r="E21" s="17"/>
      <c r="F21" s="14"/>
      <c r="G21" s="14"/>
      <c r="H21" s="9"/>
      <c r="I21" s="28"/>
      <c r="J21" s="9"/>
      <c r="K21" s="31"/>
      <c r="L21" s="81"/>
      <c r="M21" s="42"/>
      <c r="N21" s="81"/>
      <c r="P21" s="42"/>
      <c r="R21" s="42"/>
      <c r="U21" s="108"/>
      <c r="V21" s="98"/>
      <c r="W21" s="98"/>
      <c r="X21" s="98"/>
      <c r="Y21" s="98"/>
      <c r="Z21" s="98"/>
      <c r="AA21" s="42"/>
      <c r="AI21" s="42"/>
      <c r="AL21" s="46"/>
      <c r="AN21" s="72"/>
    </row>
    <row r="22" spans="1:40">
      <c r="B22" s="197"/>
      <c r="C22" s="59" t="s">
        <v>77</v>
      </c>
      <c r="D22" s="11"/>
      <c r="E22" s="18"/>
      <c r="F22" s="12"/>
      <c r="G22" s="11"/>
      <c r="H22" s="9"/>
      <c r="I22" s="28"/>
      <c r="J22" s="9"/>
      <c r="K22" s="31"/>
      <c r="L22" s="81"/>
      <c r="M22" s="42"/>
      <c r="N22" s="81"/>
      <c r="P22" s="42"/>
      <c r="R22" s="42"/>
      <c r="U22" s="42"/>
      <c r="W22" s="80"/>
      <c r="X22" s="33"/>
      <c r="Y22" s="98"/>
      <c r="Z22" s="108"/>
      <c r="AA22" s="99"/>
      <c r="AI22" s="42"/>
      <c r="AL22" s="46"/>
      <c r="AN22" s="72"/>
    </row>
    <row r="23" spans="1:40" s="20" customFormat="1" ht="18.75" customHeight="1">
      <c r="A23" s="134"/>
      <c r="B23" s="196">
        <v>6</v>
      </c>
      <c r="C23" s="65" t="s">
        <v>82</v>
      </c>
      <c r="D23" s="13"/>
      <c r="E23" s="19"/>
      <c r="F23" s="12"/>
      <c r="G23" s="11"/>
      <c r="H23" s="9"/>
      <c r="I23" s="28"/>
      <c r="J23" s="9"/>
      <c r="K23" s="31"/>
      <c r="L23" s="119"/>
      <c r="M23" s="44"/>
      <c r="N23" s="119"/>
      <c r="P23" s="44"/>
      <c r="R23" s="44"/>
      <c r="U23" s="44"/>
      <c r="W23" s="44"/>
      <c r="X23" s="37"/>
      <c r="Y23" s="119"/>
      <c r="Z23" s="44"/>
      <c r="AA23" s="37"/>
      <c r="AI23" s="44"/>
      <c r="AL23" s="47"/>
      <c r="AN23" s="73"/>
    </row>
    <row r="24" spans="1:40">
      <c r="B24" s="197"/>
      <c r="C24" s="68" t="s">
        <v>83</v>
      </c>
      <c r="D24" s="11"/>
      <c r="E24" s="21"/>
      <c r="F24" s="12"/>
      <c r="G24" s="11"/>
      <c r="H24" s="9"/>
      <c r="I24" s="28"/>
      <c r="J24" s="22"/>
      <c r="K24" s="40"/>
      <c r="L24" s="121"/>
      <c r="M24" s="42"/>
      <c r="N24" s="81"/>
      <c r="P24" s="42"/>
      <c r="R24" s="42"/>
      <c r="U24" s="42"/>
      <c r="W24" s="41"/>
      <c r="X24" s="42"/>
      <c r="Y24" s="81"/>
      <c r="Z24" s="42"/>
      <c r="AA24" s="33"/>
      <c r="AI24" s="42"/>
      <c r="AL24" s="46"/>
      <c r="AN24" s="72"/>
    </row>
    <row r="25" spans="1:40">
      <c r="B25" s="196">
        <v>7</v>
      </c>
      <c r="C25" s="66" t="s">
        <v>84</v>
      </c>
      <c r="D25" s="14"/>
      <c r="E25" s="23"/>
      <c r="F25" s="14"/>
      <c r="G25" s="14"/>
      <c r="H25" s="9"/>
      <c r="I25" s="28"/>
      <c r="J25" s="22"/>
      <c r="K25" s="31"/>
      <c r="L25" s="81"/>
      <c r="M25" s="42"/>
      <c r="N25" s="81"/>
      <c r="P25" s="42"/>
      <c r="R25" s="42"/>
      <c r="U25" s="42"/>
      <c r="W25" s="41"/>
      <c r="X25" s="117"/>
      <c r="Y25" s="81"/>
      <c r="Z25" s="33"/>
      <c r="AA25" s="33"/>
      <c r="AI25" s="42"/>
      <c r="AL25" s="46"/>
      <c r="AN25" s="72"/>
    </row>
    <row r="26" spans="1:40">
      <c r="B26" s="198"/>
      <c r="C26" s="68" t="s">
        <v>85</v>
      </c>
      <c r="D26" s="11"/>
      <c r="E26" s="24"/>
      <c r="F26" s="12"/>
      <c r="G26" s="11"/>
      <c r="H26" s="9"/>
      <c r="I26" s="28"/>
      <c r="J26" s="22"/>
      <c r="K26" s="31"/>
      <c r="L26" s="81"/>
      <c r="M26" s="42"/>
      <c r="N26" s="81"/>
      <c r="P26" s="42"/>
      <c r="R26" s="42"/>
      <c r="U26" s="42"/>
      <c r="W26" s="41"/>
      <c r="X26" s="116"/>
      <c r="Y26" s="116"/>
      <c r="Z26" s="116"/>
      <c r="AA26" s="107"/>
      <c r="AB26" s="100"/>
      <c r="AC26" s="100"/>
      <c r="AD26" s="100"/>
      <c r="AE26" s="100"/>
      <c r="AF26" s="100"/>
      <c r="AG26" s="100"/>
      <c r="AH26" s="100"/>
      <c r="AI26" s="42"/>
      <c r="AL26" s="46"/>
      <c r="AN26" s="72"/>
    </row>
    <row r="27" spans="1:40">
      <c r="B27" s="197"/>
      <c r="C27" s="69" t="s">
        <v>86</v>
      </c>
      <c r="D27" s="14"/>
      <c r="E27" s="21"/>
      <c r="F27" s="14"/>
      <c r="G27" s="14"/>
      <c r="H27" s="9"/>
      <c r="I27" s="28"/>
      <c r="J27" s="9"/>
      <c r="K27" s="31"/>
      <c r="L27" s="81"/>
      <c r="M27" s="42"/>
      <c r="N27" s="81"/>
      <c r="P27" s="42"/>
      <c r="R27" s="42"/>
      <c r="U27" s="42"/>
      <c r="W27" s="42"/>
      <c r="AA27" s="42"/>
      <c r="AH27" s="45"/>
      <c r="AI27" s="42"/>
      <c r="AL27" s="46"/>
      <c r="AN27" s="72"/>
    </row>
    <row r="28" spans="1:40">
      <c r="B28" s="196">
        <v>8</v>
      </c>
      <c r="C28" s="64" t="s">
        <v>87</v>
      </c>
      <c r="D28" s="11"/>
      <c r="E28" s="23"/>
      <c r="F28" s="12"/>
      <c r="G28" s="11"/>
      <c r="H28" s="9"/>
      <c r="I28" s="28"/>
      <c r="J28" s="9"/>
      <c r="K28" s="31"/>
      <c r="L28" s="81"/>
      <c r="M28" s="42"/>
      <c r="N28" s="81"/>
      <c r="P28" s="42"/>
      <c r="R28" s="42"/>
      <c r="U28" s="42"/>
      <c r="W28" s="42"/>
      <c r="AA28" s="42"/>
      <c r="AI28" s="42"/>
      <c r="AL28" s="46"/>
      <c r="AN28" s="72"/>
    </row>
    <row r="29" spans="1:40">
      <c r="B29" s="197"/>
      <c r="C29" s="60" t="s">
        <v>88</v>
      </c>
      <c r="D29" s="11"/>
      <c r="E29" s="24"/>
      <c r="F29" s="12"/>
      <c r="G29" s="11"/>
      <c r="H29" s="9"/>
      <c r="I29" s="28"/>
      <c r="J29" s="9"/>
      <c r="K29" s="31"/>
      <c r="L29" s="81"/>
      <c r="M29" s="42"/>
      <c r="N29" s="81"/>
      <c r="P29" s="42"/>
      <c r="R29" s="42"/>
      <c r="U29" s="42"/>
      <c r="W29" s="42"/>
      <c r="AA29" s="105"/>
      <c r="AB29" s="101"/>
      <c r="AC29" s="101"/>
      <c r="AD29" s="101"/>
      <c r="AE29" s="101"/>
      <c r="AF29" s="101"/>
      <c r="AG29" s="101"/>
      <c r="AH29" s="101"/>
      <c r="AI29" s="105"/>
      <c r="AL29" s="46"/>
      <c r="AN29" s="72"/>
    </row>
    <row r="30" spans="1:40">
      <c r="B30" s="61">
        <v>9</v>
      </c>
      <c r="C30" s="62" t="s">
        <v>89</v>
      </c>
      <c r="D30" s="25"/>
      <c r="E30" s="24"/>
      <c r="F30" s="25"/>
      <c r="G30" s="25"/>
      <c r="H30" s="9"/>
      <c r="I30" s="28"/>
      <c r="J30" s="9"/>
      <c r="K30" s="31"/>
      <c r="L30" s="81"/>
      <c r="M30" s="42"/>
      <c r="N30" s="81"/>
      <c r="P30" s="42"/>
      <c r="R30" s="42"/>
      <c r="U30" s="42"/>
      <c r="W30" s="42"/>
      <c r="AA30" s="42"/>
      <c r="AI30" s="103"/>
      <c r="AJ30" s="93"/>
      <c r="AK30" s="93"/>
      <c r="AL30" s="103"/>
      <c r="AN30" s="72"/>
    </row>
    <row r="31" spans="1:40">
      <c r="B31" s="61">
        <v>10</v>
      </c>
      <c r="C31" s="64" t="s">
        <v>90</v>
      </c>
      <c r="D31" s="11"/>
      <c r="E31" s="21"/>
      <c r="F31" s="12"/>
      <c r="G31" s="11"/>
      <c r="H31" s="9"/>
      <c r="I31" s="28"/>
      <c r="J31" s="9"/>
      <c r="K31" s="31"/>
      <c r="L31" s="81"/>
      <c r="M31" s="42"/>
      <c r="N31" s="81"/>
      <c r="P31" s="42"/>
      <c r="R31" s="42"/>
      <c r="U31" s="42"/>
      <c r="W31" s="42"/>
      <c r="AA31" s="42"/>
      <c r="AI31" s="42"/>
      <c r="AL31" s="102"/>
      <c r="AM31" s="91"/>
      <c r="AN31" s="92"/>
    </row>
    <row r="32" spans="1:40">
      <c r="B32" s="155">
        <v>11</v>
      </c>
      <c r="C32" s="165" t="s">
        <v>91</v>
      </c>
      <c r="D32" s="82"/>
      <c r="E32" s="83"/>
      <c r="F32" s="84"/>
      <c r="G32" s="82"/>
      <c r="H32" s="85"/>
      <c r="I32" s="86"/>
      <c r="J32" s="85"/>
      <c r="K32" s="111"/>
      <c r="L32" s="87"/>
      <c r="M32" s="123"/>
      <c r="N32" s="87"/>
      <c r="O32" s="88"/>
      <c r="P32" s="106"/>
      <c r="Q32" s="88"/>
      <c r="R32" s="106"/>
      <c r="S32" s="88"/>
      <c r="T32" s="88"/>
      <c r="U32" s="106"/>
      <c r="V32" s="88"/>
      <c r="W32" s="106"/>
      <c r="X32" s="88"/>
      <c r="Y32" s="88"/>
      <c r="Z32" s="88"/>
      <c r="AA32" s="106"/>
      <c r="AB32" s="88"/>
      <c r="AC32" s="88"/>
      <c r="AD32" s="88"/>
      <c r="AE32" s="88"/>
      <c r="AF32" s="88"/>
      <c r="AG32" s="88"/>
      <c r="AH32" s="88"/>
      <c r="AI32" s="106"/>
      <c r="AJ32" s="88"/>
      <c r="AK32" s="88"/>
      <c r="AL32" s="104"/>
      <c r="AM32" s="89"/>
      <c r="AN32" s="90"/>
    </row>
    <row r="33" spans="2:40">
      <c r="B33" s="132"/>
      <c r="C33" s="166"/>
      <c r="D33" s="75"/>
      <c r="E33" s="76"/>
      <c r="F33" s="77"/>
      <c r="G33" s="75"/>
      <c r="H33" s="50">
        <v>45953</v>
      </c>
      <c r="I33" s="79">
        <v>45950</v>
      </c>
      <c r="J33" s="79">
        <v>45971</v>
      </c>
      <c r="K33" s="76"/>
      <c r="L33" s="122">
        <v>45976</v>
      </c>
      <c r="M33" s="125" t="s">
        <v>92</v>
      </c>
      <c r="N33" s="124"/>
      <c r="O33" s="120">
        <v>46006</v>
      </c>
      <c r="P33" s="112">
        <v>46004</v>
      </c>
      <c r="Q33" s="74"/>
      <c r="R33" s="126" t="s">
        <v>92</v>
      </c>
      <c r="S33" s="74"/>
      <c r="T33" s="112">
        <v>46042</v>
      </c>
      <c r="U33" s="112">
        <v>46040</v>
      </c>
      <c r="V33" s="74"/>
      <c r="W33" s="126" t="s">
        <v>92</v>
      </c>
      <c r="X33" s="74"/>
      <c r="Y33" s="74"/>
      <c r="Z33" s="153">
        <v>46082</v>
      </c>
      <c r="AA33" s="50">
        <v>46079</v>
      </c>
      <c r="AB33" s="74"/>
      <c r="AC33" s="74"/>
      <c r="AD33" s="74"/>
      <c r="AE33" s="74"/>
      <c r="AF33" s="74"/>
      <c r="AG33" s="74"/>
      <c r="AH33" s="113">
        <v>46138</v>
      </c>
      <c r="AI33" s="112">
        <v>46137</v>
      </c>
      <c r="AJ33" s="74"/>
      <c r="AK33" s="114">
        <v>46158</v>
      </c>
      <c r="AL33" s="112">
        <v>46157</v>
      </c>
      <c r="AM33" s="74"/>
      <c r="AN33" s="78"/>
    </row>
    <row r="34" spans="2:40">
      <c r="D34" s="11"/>
      <c r="E34" s="9"/>
      <c r="F34" s="12"/>
      <c r="G34" s="11"/>
      <c r="H34" s="19"/>
      <c r="I34" s="9"/>
      <c r="J34" s="9"/>
      <c r="K34" s="9"/>
    </row>
    <row r="35" spans="2:40">
      <c r="D35" s="9"/>
      <c r="E35" s="9"/>
      <c r="F35" s="9"/>
      <c r="G35" s="9"/>
      <c r="H35" s="9"/>
      <c r="I35" s="9"/>
      <c r="J35" s="9"/>
      <c r="K35" s="9"/>
    </row>
    <row r="40" spans="2:40">
      <c r="E40" s="135"/>
    </row>
    <row r="41" spans="2:40">
      <c r="E41" s="23"/>
    </row>
    <row r="42" spans="2:40">
      <c r="E42" s="135"/>
    </row>
    <row r="43" spans="2:40">
      <c r="E43" s="23"/>
    </row>
    <row r="44" spans="2:40">
      <c r="E44" s="136"/>
    </row>
    <row r="45" spans="2:40">
      <c r="E45" s="137"/>
    </row>
    <row r="46" spans="2:40">
      <c r="E46" s="81"/>
    </row>
    <row r="47" spans="2:40">
      <c r="E47" s="138"/>
    </row>
    <row r="48" spans="2:40">
      <c r="E48" s="138"/>
    </row>
  </sheetData>
  <mergeCells count="17">
    <mergeCell ref="R3:X3"/>
    <mergeCell ref="Y3:AE3"/>
    <mergeCell ref="AF3:AL3"/>
    <mergeCell ref="AM3:AN3"/>
    <mergeCell ref="D3:J3"/>
    <mergeCell ref="K3:Q3"/>
    <mergeCell ref="B2:C2"/>
    <mergeCell ref="B23:B24"/>
    <mergeCell ref="B25:B27"/>
    <mergeCell ref="B28:B29"/>
    <mergeCell ref="B3:B5"/>
    <mergeCell ref="C3:C5"/>
    <mergeCell ref="B6:B7"/>
    <mergeCell ref="B8:B10"/>
    <mergeCell ref="B11:B14"/>
    <mergeCell ref="B15:B18"/>
    <mergeCell ref="B19:B22"/>
  </mergeCells>
  <printOptions horizontalCentered="1" verticalCentered="1"/>
  <pageMargins left="0.25" right="0.25" top="0.75" bottom="0.75" header="0.3" footer="0.3"/>
  <pageSetup paperSize="3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5B9A6-C13D-45AA-9E9C-EF6DB43EC29D}">
  <sheetPr>
    <pageSetUpPr fitToPage="1"/>
  </sheetPr>
  <dimension ref="B2:J27"/>
  <sheetViews>
    <sheetView workbookViewId="0">
      <selection activeCell="H11" sqref="H11"/>
    </sheetView>
  </sheetViews>
  <sheetFormatPr defaultRowHeight="15"/>
  <cols>
    <col min="1" max="1" width="3" style="10" customWidth="1"/>
    <col min="2" max="2" width="7.140625" style="10" bestFit="1" customWidth="1"/>
    <col min="3" max="3" width="33.140625" style="10" bestFit="1" customWidth="1"/>
    <col min="4" max="4" width="5.5703125" style="10" bestFit="1" customWidth="1"/>
    <col min="5" max="5" width="9.42578125" style="10" bestFit="1" customWidth="1"/>
    <col min="6" max="6" width="9.5703125" style="10" bestFit="1" customWidth="1"/>
    <col min="7" max="7" width="11" style="10" bestFit="1" customWidth="1"/>
    <col min="8" max="8" width="9.140625" style="10"/>
    <col min="9" max="9" width="12" style="10" bestFit="1" customWidth="1"/>
    <col min="10" max="10" width="12.140625" style="10" customWidth="1"/>
    <col min="11" max="16384" width="9.140625" style="10"/>
  </cols>
  <sheetData>
    <row r="2" spans="2:10" ht="18.75">
      <c r="B2" s="206" t="s">
        <v>93</v>
      </c>
      <c r="C2" s="206"/>
      <c r="D2" s="206"/>
      <c r="E2" s="206"/>
      <c r="F2" s="206"/>
      <c r="G2" s="206"/>
    </row>
    <row r="3" spans="2:10" ht="18.75">
      <c r="B3" s="207" t="s">
        <v>94</v>
      </c>
      <c r="C3" s="208"/>
    </row>
    <row r="4" spans="2:10">
      <c r="B4" s="167" t="s">
        <v>95</v>
      </c>
      <c r="C4" s="168" t="s">
        <v>96</v>
      </c>
      <c r="D4" s="141" t="s">
        <v>97</v>
      </c>
      <c r="E4" s="141" t="s">
        <v>98</v>
      </c>
      <c r="F4" s="141" t="s">
        <v>99</v>
      </c>
      <c r="G4" s="141" t="s">
        <v>100</v>
      </c>
      <c r="I4" s="146" t="s">
        <v>101</v>
      </c>
      <c r="J4" s="147"/>
    </row>
    <row r="5" spans="2:10">
      <c r="B5" s="140">
        <v>0.1</v>
      </c>
      <c r="C5" s="139" t="s">
        <v>102</v>
      </c>
      <c r="D5" s="142" t="s">
        <v>103</v>
      </c>
      <c r="E5" s="143" t="s">
        <v>104</v>
      </c>
      <c r="F5" s="143" t="s">
        <v>104</v>
      </c>
      <c r="G5" s="144" t="s">
        <v>105</v>
      </c>
      <c r="I5" s="146" t="s">
        <v>106</v>
      </c>
      <c r="J5" s="144"/>
    </row>
    <row r="6" spans="2:10">
      <c r="B6" s="140">
        <v>0.2</v>
      </c>
      <c r="C6" s="139" t="s">
        <v>107</v>
      </c>
      <c r="D6" s="142" t="s">
        <v>108</v>
      </c>
      <c r="E6" s="142" t="s">
        <v>103</v>
      </c>
      <c r="F6" s="143" t="s">
        <v>104</v>
      </c>
      <c r="G6" s="145" t="s">
        <v>109</v>
      </c>
      <c r="I6" s="146" t="s">
        <v>110</v>
      </c>
      <c r="J6" s="148"/>
    </row>
    <row r="7" spans="2:10">
      <c r="B7" s="140">
        <v>0.3</v>
      </c>
      <c r="C7" s="139" t="s">
        <v>111</v>
      </c>
      <c r="D7" s="142" t="s">
        <v>108</v>
      </c>
      <c r="E7" s="142" t="s">
        <v>103</v>
      </c>
      <c r="F7" s="143" t="s">
        <v>104</v>
      </c>
      <c r="G7" s="145" t="s">
        <v>109</v>
      </c>
      <c r="I7" s="146" t="s">
        <v>112</v>
      </c>
      <c r="J7" s="145"/>
    </row>
    <row r="8" spans="2:10">
      <c r="B8" s="140">
        <v>0.4</v>
      </c>
      <c r="C8" s="139" t="s">
        <v>113</v>
      </c>
      <c r="D8" s="142" t="s">
        <v>108</v>
      </c>
      <c r="E8" s="142" t="s">
        <v>103</v>
      </c>
      <c r="F8" s="143" t="s">
        <v>104</v>
      </c>
      <c r="G8" s="143" t="s">
        <v>104</v>
      </c>
    </row>
    <row r="9" spans="2:10">
      <c r="B9" s="140">
        <v>1.1000000000000001</v>
      </c>
      <c r="C9" s="139" t="s">
        <v>114</v>
      </c>
      <c r="D9" s="142" t="s">
        <v>108</v>
      </c>
      <c r="E9" s="145" t="s">
        <v>109</v>
      </c>
      <c r="F9" s="142" t="s">
        <v>103</v>
      </c>
      <c r="G9" s="145" t="s">
        <v>109</v>
      </c>
    </row>
    <row r="10" spans="2:10">
      <c r="B10" s="140">
        <v>2.1</v>
      </c>
      <c r="C10" s="139" t="s">
        <v>115</v>
      </c>
      <c r="D10" s="144" t="s">
        <v>105</v>
      </c>
      <c r="E10" s="145" t="s">
        <v>109</v>
      </c>
      <c r="F10" s="142" t="s">
        <v>103</v>
      </c>
      <c r="G10" s="145" t="s">
        <v>109</v>
      </c>
    </row>
    <row r="11" spans="2:10">
      <c r="B11" s="140">
        <v>2.2000000000000002</v>
      </c>
      <c r="C11" s="139" t="s">
        <v>116</v>
      </c>
      <c r="D11" s="142" t="s">
        <v>108</v>
      </c>
      <c r="E11" s="145" t="s">
        <v>109</v>
      </c>
      <c r="F11" s="143" t="s">
        <v>104</v>
      </c>
      <c r="G11" s="145" t="s">
        <v>109</v>
      </c>
    </row>
    <row r="12" spans="2:10">
      <c r="B12" s="140">
        <v>3.1</v>
      </c>
      <c r="C12" s="139" t="s">
        <v>117</v>
      </c>
      <c r="D12" s="142" t="s">
        <v>108</v>
      </c>
      <c r="E12" s="143" t="s">
        <v>104</v>
      </c>
      <c r="F12" s="145" t="s">
        <v>109</v>
      </c>
      <c r="G12" s="145" t="s">
        <v>109</v>
      </c>
    </row>
    <row r="13" spans="2:10">
      <c r="B13" s="140">
        <v>3.2</v>
      </c>
      <c r="C13" s="139" t="s">
        <v>118</v>
      </c>
      <c r="D13" s="144" t="s">
        <v>105</v>
      </c>
      <c r="E13" s="142" t="s">
        <v>103</v>
      </c>
      <c r="F13" s="145" t="s">
        <v>109</v>
      </c>
      <c r="G13" s="145" t="s">
        <v>109</v>
      </c>
    </row>
    <row r="14" spans="2:10">
      <c r="B14" s="140">
        <v>3.3</v>
      </c>
      <c r="C14" s="139" t="s">
        <v>119</v>
      </c>
      <c r="D14" s="144" t="s">
        <v>105</v>
      </c>
      <c r="E14" s="142" t="s">
        <v>103</v>
      </c>
      <c r="F14" s="145" t="s">
        <v>109</v>
      </c>
      <c r="G14" s="145" t="s">
        <v>109</v>
      </c>
    </row>
    <row r="15" spans="2:10">
      <c r="B15" s="140">
        <v>4.0999999999999996</v>
      </c>
      <c r="C15" s="139" t="s">
        <v>120</v>
      </c>
      <c r="D15" s="142" t="s">
        <v>108</v>
      </c>
      <c r="E15" s="143" t="s">
        <v>104</v>
      </c>
      <c r="F15" s="145" t="s">
        <v>109</v>
      </c>
      <c r="G15" s="145" t="s">
        <v>109</v>
      </c>
    </row>
    <row r="16" spans="2:10">
      <c r="B16" s="140">
        <v>4.2</v>
      </c>
      <c r="C16" s="139" t="s">
        <v>121</v>
      </c>
      <c r="D16" s="144" t="s">
        <v>105</v>
      </c>
      <c r="E16" s="142" t="s">
        <v>103</v>
      </c>
      <c r="F16" s="145" t="s">
        <v>109</v>
      </c>
      <c r="G16" s="145" t="s">
        <v>109</v>
      </c>
    </row>
    <row r="17" spans="2:7">
      <c r="B17" s="140">
        <v>4.3</v>
      </c>
      <c r="C17" s="139" t="s">
        <v>122</v>
      </c>
      <c r="D17" s="144" t="s">
        <v>105</v>
      </c>
      <c r="E17" s="142" t="s">
        <v>103</v>
      </c>
      <c r="F17" s="145" t="s">
        <v>109</v>
      </c>
      <c r="G17" s="145" t="s">
        <v>109</v>
      </c>
    </row>
    <row r="18" spans="2:7">
      <c r="B18" s="140">
        <v>5.0999999999999996</v>
      </c>
      <c r="C18" s="139" t="s">
        <v>123</v>
      </c>
      <c r="D18" s="142" t="s">
        <v>108</v>
      </c>
      <c r="E18" s="143" t="s">
        <v>104</v>
      </c>
      <c r="F18" s="145" t="s">
        <v>109</v>
      </c>
      <c r="G18" s="145" t="s">
        <v>109</v>
      </c>
    </row>
    <row r="19" spans="2:7">
      <c r="B19" s="140">
        <v>5.2</v>
      </c>
      <c r="C19" s="139" t="s">
        <v>124</v>
      </c>
      <c r="D19" s="144" t="s">
        <v>105</v>
      </c>
      <c r="E19" s="142" t="s">
        <v>103</v>
      </c>
      <c r="F19" s="145" t="s">
        <v>109</v>
      </c>
      <c r="G19" s="145" t="s">
        <v>109</v>
      </c>
    </row>
    <row r="20" spans="2:7">
      <c r="B20" s="140">
        <v>5.3</v>
      </c>
      <c r="C20" s="139" t="s">
        <v>125</v>
      </c>
      <c r="D20" s="144" t="s">
        <v>105</v>
      </c>
      <c r="E20" s="142" t="s">
        <v>103</v>
      </c>
      <c r="F20" s="145" t="s">
        <v>109</v>
      </c>
      <c r="G20" s="145" t="s">
        <v>109</v>
      </c>
    </row>
    <row r="21" spans="2:7">
      <c r="B21" s="140">
        <v>6.1</v>
      </c>
      <c r="C21" s="139" t="s">
        <v>126</v>
      </c>
      <c r="D21" s="144" t="s">
        <v>105</v>
      </c>
      <c r="E21" s="143" t="s">
        <v>104</v>
      </c>
      <c r="F21" s="142" t="s">
        <v>103</v>
      </c>
      <c r="G21" s="145" t="s">
        <v>109</v>
      </c>
    </row>
    <row r="22" spans="2:7">
      <c r="B22" s="140">
        <v>7.1</v>
      </c>
      <c r="C22" s="139" t="s">
        <v>127</v>
      </c>
      <c r="D22" s="142" t="s">
        <v>108</v>
      </c>
      <c r="E22" s="143" t="s">
        <v>104</v>
      </c>
      <c r="F22" s="143" t="s">
        <v>104</v>
      </c>
      <c r="G22" s="143" t="s">
        <v>104</v>
      </c>
    </row>
    <row r="23" spans="2:7">
      <c r="B23" s="140">
        <v>7.2</v>
      </c>
      <c r="C23" s="139" t="s">
        <v>128</v>
      </c>
      <c r="D23" s="142" t="s">
        <v>108</v>
      </c>
      <c r="E23" s="143" t="s">
        <v>104</v>
      </c>
      <c r="F23" s="143" t="s">
        <v>104</v>
      </c>
      <c r="G23" s="143" t="s">
        <v>104</v>
      </c>
    </row>
    <row r="24" spans="2:7">
      <c r="B24" s="140">
        <v>8.1</v>
      </c>
      <c r="C24" s="139" t="s">
        <v>129</v>
      </c>
      <c r="D24" s="142" t="s">
        <v>108</v>
      </c>
      <c r="E24" s="143" t="s">
        <v>104</v>
      </c>
      <c r="F24" s="143" t="s">
        <v>104</v>
      </c>
      <c r="G24" s="145" t="s">
        <v>109</v>
      </c>
    </row>
    <row r="25" spans="2:7">
      <c r="B25" s="140">
        <v>9</v>
      </c>
      <c r="C25" s="139" t="s">
        <v>89</v>
      </c>
      <c r="D25" s="144" t="s">
        <v>105</v>
      </c>
      <c r="E25" s="143" t="s">
        <v>104</v>
      </c>
      <c r="F25" s="142" t="s">
        <v>103</v>
      </c>
      <c r="G25" s="145" t="s">
        <v>109</v>
      </c>
    </row>
    <row r="26" spans="2:7">
      <c r="B26" s="140">
        <v>10</v>
      </c>
      <c r="C26" s="139" t="s">
        <v>90</v>
      </c>
      <c r="D26" s="144" t="s">
        <v>105</v>
      </c>
      <c r="E26" s="143" t="s">
        <v>104</v>
      </c>
      <c r="F26" s="142" t="s">
        <v>103</v>
      </c>
      <c r="G26" s="145" t="s">
        <v>109</v>
      </c>
    </row>
    <row r="27" spans="2:7">
      <c r="B27" s="140">
        <v>11</v>
      </c>
      <c r="C27" s="139" t="s">
        <v>130</v>
      </c>
      <c r="D27" s="142" t="s">
        <v>103</v>
      </c>
      <c r="E27" s="142" t="s">
        <v>103</v>
      </c>
      <c r="F27" s="142" t="s">
        <v>103</v>
      </c>
      <c r="G27" s="144" t="s">
        <v>105</v>
      </c>
    </row>
  </sheetData>
  <mergeCells count="2">
    <mergeCell ref="B2:G2"/>
    <mergeCell ref="B3:C3"/>
  </mergeCells>
  <pageMargins left="1" right="1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D3EB3-755C-4AFE-BA87-07FE4CB3648F}">
  <sheetPr>
    <pageSetUpPr fitToPage="1"/>
  </sheetPr>
  <dimension ref="B2:J33"/>
  <sheetViews>
    <sheetView workbookViewId="0">
      <selection activeCell="B3" sqref="B3:D3"/>
    </sheetView>
  </sheetViews>
  <sheetFormatPr defaultRowHeight="15"/>
  <cols>
    <col min="1" max="1" width="3.140625" style="10" customWidth="1"/>
    <col min="2" max="2" width="6.7109375" style="10" bestFit="1" customWidth="1"/>
    <col min="3" max="3" width="4.140625" style="10" bestFit="1" customWidth="1"/>
    <col min="4" max="4" width="27" style="10" bestFit="1" customWidth="1"/>
    <col min="5" max="5" width="18" style="127" bestFit="1" customWidth="1"/>
    <col min="6" max="6" width="11.28515625" style="10" bestFit="1" customWidth="1"/>
    <col min="7" max="7" width="10.5703125" style="10" bestFit="1" customWidth="1"/>
    <col min="8" max="8" width="11.85546875" style="10" bestFit="1" customWidth="1"/>
    <col min="9" max="9" width="15.140625" style="10" bestFit="1" customWidth="1"/>
    <col min="10" max="10" width="16.28515625" style="10" bestFit="1" customWidth="1"/>
    <col min="11" max="12" width="9.140625" style="10"/>
    <col min="13" max="13" width="20.7109375" style="10" bestFit="1" customWidth="1"/>
    <col min="14" max="16384" width="9.140625" style="10"/>
  </cols>
  <sheetData>
    <row r="2" spans="2:10" ht="15.75">
      <c r="B2" s="209" t="s">
        <v>131</v>
      </c>
      <c r="C2" s="181"/>
      <c r="D2" s="181"/>
      <c r="E2" s="181"/>
      <c r="F2" s="181"/>
      <c r="G2" s="181"/>
      <c r="H2" s="181"/>
      <c r="I2" s="181"/>
      <c r="J2" s="181"/>
    </row>
    <row r="3" spans="2:10" ht="21.75" customHeight="1">
      <c r="B3" s="194" t="s">
        <v>1</v>
      </c>
      <c r="C3" s="224"/>
      <c r="D3" s="224"/>
    </row>
    <row r="4" spans="2:10" ht="16.5">
      <c r="B4" s="170" t="s">
        <v>95</v>
      </c>
      <c r="C4" s="171"/>
      <c r="D4" s="172" t="s">
        <v>132</v>
      </c>
      <c r="E4" s="6" t="s">
        <v>133</v>
      </c>
      <c r="F4" s="7" t="s">
        <v>134</v>
      </c>
      <c r="G4" s="7" t="s">
        <v>135</v>
      </c>
      <c r="H4" s="7" t="s">
        <v>136</v>
      </c>
      <c r="I4" s="7" t="s">
        <v>137</v>
      </c>
      <c r="J4" s="7" t="s">
        <v>138</v>
      </c>
    </row>
    <row r="5" spans="2:10">
      <c r="B5" s="214">
        <v>1</v>
      </c>
      <c r="C5" s="231" t="s">
        <v>139</v>
      </c>
      <c r="D5" s="232"/>
      <c r="E5" s="232"/>
      <c r="F5" s="232"/>
      <c r="G5" s="232"/>
      <c r="H5" s="232"/>
      <c r="I5" s="232"/>
      <c r="J5" s="233"/>
    </row>
    <row r="6" spans="2:10" ht="21.75" customHeight="1">
      <c r="B6" s="215"/>
      <c r="C6" s="212">
        <v>1.1000000000000001</v>
      </c>
      <c r="D6" s="210" t="s">
        <v>70</v>
      </c>
      <c r="E6" s="49" t="s">
        <v>12</v>
      </c>
      <c r="F6" s="219">
        <v>45923</v>
      </c>
      <c r="G6" s="219">
        <v>45947</v>
      </c>
      <c r="H6" s="221">
        <v>3</v>
      </c>
      <c r="I6" s="219">
        <f>G6+H6</f>
        <v>45950</v>
      </c>
      <c r="J6" s="217">
        <v>100</v>
      </c>
    </row>
    <row r="7" spans="2:10">
      <c r="B7" s="216"/>
      <c r="C7" s="213"/>
      <c r="D7" s="211"/>
      <c r="E7" s="49" t="s">
        <v>140</v>
      </c>
      <c r="F7" s="223"/>
      <c r="G7" s="223"/>
      <c r="H7" s="222"/>
      <c r="I7" s="223"/>
      <c r="J7" s="218"/>
    </row>
    <row r="8" spans="2:10">
      <c r="B8" s="214">
        <v>2</v>
      </c>
      <c r="C8" s="228" t="s">
        <v>71</v>
      </c>
      <c r="D8" s="229"/>
      <c r="E8" s="229"/>
      <c r="F8" s="229"/>
      <c r="G8" s="229"/>
      <c r="H8" s="229"/>
      <c r="I8" s="229"/>
      <c r="J8" s="230"/>
    </row>
    <row r="9" spans="2:10">
      <c r="B9" s="215"/>
      <c r="C9" s="59">
        <v>2.1</v>
      </c>
      <c r="D9" s="52" t="s">
        <v>141</v>
      </c>
      <c r="E9" s="49" t="s">
        <v>140</v>
      </c>
      <c r="F9" s="219">
        <v>45953</v>
      </c>
      <c r="G9" s="219">
        <v>45962</v>
      </c>
      <c r="H9" s="221">
        <v>7</v>
      </c>
      <c r="I9" s="219">
        <v>45976</v>
      </c>
      <c r="J9" s="217">
        <v>100</v>
      </c>
    </row>
    <row r="10" spans="2:10">
      <c r="B10" s="216"/>
      <c r="C10" s="59">
        <v>2.2000000000000002</v>
      </c>
      <c r="D10" s="52" t="s">
        <v>73</v>
      </c>
      <c r="E10" s="49" t="s">
        <v>12</v>
      </c>
      <c r="F10" s="220"/>
      <c r="G10" s="220"/>
      <c r="H10" s="222"/>
      <c r="I10" s="223"/>
      <c r="J10" s="218"/>
    </row>
    <row r="11" spans="2:10">
      <c r="B11" s="214">
        <v>3</v>
      </c>
      <c r="C11" s="228" t="s">
        <v>142</v>
      </c>
      <c r="D11" s="229"/>
      <c r="E11" s="229"/>
      <c r="F11" s="229"/>
      <c r="G11" s="229"/>
      <c r="H11" s="229"/>
      <c r="I11" s="229"/>
      <c r="J11" s="230"/>
    </row>
    <row r="12" spans="2:10" ht="30.75">
      <c r="B12" s="215"/>
      <c r="C12" s="59">
        <v>3.1</v>
      </c>
      <c r="D12" s="52" t="s">
        <v>75</v>
      </c>
      <c r="E12" s="49" t="s">
        <v>12</v>
      </c>
      <c r="F12" s="219">
        <v>45971</v>
      </c>
      <c r="G12" s="219">
        <v>45992</v>
      </c>
      <c r="H12" s="221">
        <v>9</v>
      </c>
      <c r="I12" s="219">
        <v>46001</v>
      </c>
      <c r="J12" s="217">
        <v>100</v>
      </c>
    </row>
    <row r="13" spans="2:10" ht="15" customHeight="1">
      <c r="B13" s="215"/>
      <c r="C13" s="59">
        <v>3.2</v>
      </c>
      <c r="D13" s="52" t="s">
        <v>76</v>
      </c>
      <c r="E13" s="49" t="s">
        <v>14</v>
      </c>
      <c r="F13" s="223"/>
      <c r="G13" s="223"/>
      <c r="H13" s="222"/>
      <c r="I13" s="223"/>
      <c r="J13" s="218"/>
    </row>
    <row r="14" spans="2:10" ht="15" customHeight="1">
      <c r="B14" s="216"/>
      <c r="C14" s="59">
        <v>3.3</v>
      </c>
      <c r="D14" s="52" t="s">
        <v>77</v>
      </c>
      <c r="E14" s="49" t="s">
        <v>14</v>
      </c>
      <c r="F14" s="50">
        <v>46002</v>
      </c>
      <c r="G14" s="50">
        <v>46003</v>
      </c>
      <c r="H14" s="51">
        <v>1</v>
      </c>
      <c r="I14" s="50">
        <v>46004</v>
      </c>
      <c r="J14" s="5">
        <v>100</v>
      </c>
    </row>
    <row r="15" spans="2:10">
      <c r="B15" s="214">
        <v>4</v>
      </c>
      <c r="C15" s="228" t="s">
        <v>78</v>
      </c>
      <c r="D15" s="229"/>
      <c r="E15" s="229"/>
      <c r="F15" s="229"/>
      <c r="G15" s="229"/>
      <c r="H15" s="229"/>
      <c r="I15" s="229"/>
      <c r="J15" s="230"/>
    </row>
    <row r="16" spans="2:10" ht="27.75" customHeight="1">
      <c r="B16" s="215"/>
      <c r="C16" s="59">
        <v>4.0999999999999996</v>
      </c>
      <c r="D16" s="52" t="s">
        <v>79</v>
      </c>
      <c r="E16" s="49" t="s">
        <v>12</v>
      </c>
      <c r="F16" s="219">
        <v>46006</v>
      </c>
      <c r="G16" s="219">
        <v>46027</v>
      </c>
      <c r="H16" s="221">
        <v>10</v>
      </c>
      <c r="I16" s="219">
        <v>46037</v>
      </c>
      <c r="J16" s="217">
        <v>100</v>
      </c>
    </row>
    <row r="17" spans="2:10" ht="15" customHeight="1">
      <c r="B17" s="215"/>
      <c r="C17" s="59">
        <v>4.2</v>
      </c>
      <c r="D17" s="52" t="s">
        <v>76</v>
      </c>
      <c r="E17" s="49" t="s">
        <v>14</v>
      </c>
      <c r="F17" s="220"/>
      <c r="G17" s="220"/>
      <c r="H17" s="222"/>
      <c r="I17" s="223"/>
      <c r="J17" s="218"/>
    </row>
    <row r="18" spans="2:10">
      <c r="B18" s="216"/>
      <c r="C18" s="59">
        <v>4.3</v>
      </c>
      <c r="D18" s="52" t="s">
        <v>77</v>
      </c>
      <c r="E18" s="49" t="s">
        <v>14</v>
      </c>
      <c r="F18" s="50">
        <v>46038</v>
      </c>
      <c r="G18" s="50">
        <v>46039</v>
      </c>
      <c r="H18" s="51">
        <v>1</v>
      </c>
      <c r="I18" s="50">
        <v>46040</v>
      </c>
      <c r="J18" s="5">
        <v>100</v>
      </c>
    </row>
    <row r="19" spans="2:10">
      <c r="B19" s="214">
        <v>5</v>
      </c>
      <c r="C19" s="228" t="s">
        <v>143</v>
      </c>
      <c r="D19" s="229"/>
      <c r="E19" s="229"/>
      <c r="F19" s="229"/>
      <c r="G19" s="229"/>
      <c r="H19" s="229"/>
      <c r="I19" s="229"/>
      <c r="J19" s="230"/>
    </row>
    <row r="20" spans="2:10" ht="26.25" customHeight="1">
      <c r="B20" s="215"/>
      <c r="C20" s="59">
        <v>5.0999999999999996</v>
      </c>
      <c r="D20" s="52" t="s">
        <v>81</v>
      </c>
      <c r="E20" s="49" t="s">
        <v>12</v>
      </c>
      <c r="F20" s="219">
        <v>46042</v>
      </c>
      <c r="G20" s="219">
        <v>46063</v>
      </c>
      <c r="H20" s="221">
        <v>10</v>
      </c>
      <c r="I20" s="219">
        <v>46073</v>
      </c>
      <c r="J20" s="217">
        <v>100</v>
      </c>
    </row>
    <row r="21" spans="2:10">
      <c r="B21" s="215"/>
      <c r="C21" s="59">
        <v>5.2</v>
      </c>
      <c r="D21" s="52" t="s">
        <v>76</v>
      </c>
      <c r="E21" s="49" t="s">
        <v>14</v>
      </c>
      <c r="F21" s="220"/>
      <c r="G21" s="220"/>
      <c r="H21" s="222"/>
      <c r="I21" s="223"/>
      <c r="J21" s="218"/>
    </row>
    <row r="22" spans="2:10">
      <c r="B22" s="216"/>
      <c r="C22" s="59">
        <v>5.3</v>
      </c>
      <c r="D22" s="52" t="s">
        <v>77</v>
      </c>
      <c r="E22" s="49" t="s">
        <v>14</v>
      </c>
      <c r="F22" s="50">
        <v>46075</v>
      </c>
      <c r="G22" s="50">
        <v>46076</v>
      </c>
      <c r="H22" s="51">
        <v>3</v>
      </c>
      <c r="I22" s="50">
        <v>46079</v>
      </c>
      <c r="J22" s="5">
        <v>100</v>
      </c>
    </row>
    <row r="23" spans="2:10">
      <c r="B23" s="214">
        <v>6</v>
      </c>
      <c r="C23" s="228" t="s">
        <v>144</v>
      </c>
      <c r="D23" s="229"/>
      <c r="E23" s="229"/>
      <c r="F23" s="229"/>
      <c r="G23" s="229"/>
      <c r="H23" s="229"/>
      <c r="I23" s="229"/>
      <c r="J23" s="230"/>
    </row>
    <row r="24" spans="2:10" ht="25.5" customHeight="1">
      <c r="B24" s="216"/>
      <c r="C24" s="59">
        <v>6.1</v>
      </c>
      <c r="D24" s="52" t="s">
        <v>83</v>
      </c>
      <c r="E24" s="49" t="s">
        <v>140</v>
      </c>
      <c r="F24" s="152">
        <v>45971</v>
      </c>
      <c r="G24" s="50">
        <v>45974</v>
      </c>
      <c r="H24" s="51">
        <v>2</v>
      </c>
      <c r="I24" s="50">
        <v>45976</v>
      </c>
      <c r="J24" s="5">
        <v>100</v>
      </c>
    </row>
    <row r="25" spans="2:10" ht="15" customHeight="1">
      <c r="B25" s="214">
        <v>7</v>
      </c>
      <c r="C25" s="228" t="s">
        <v>84</v>
      </c>
      <c r="D25" s="229"/>
      <c r="E25" s="229"/>
      <c r="F25" s="229"/>
      <c r="G25" s="229"/>
      <c r="H25" s="229"/>
      <c r="I25" s="229"/>
      <c r="J25" s="230"/>
    </row>
    <row r="26" spans="2:10" ht="25.5" customHeight="1">
      <c r="B26" s="215"/>
      <c r="C26" s="59">
        <v>7.1</v>
      </c>
      <c r="D26" s="52" t="s">
        <v>127</v>
      </c>
      <c r="E26" s="49" t="s">
        <v>12</v>
      </c>
      <c r="F26" s="153">
        <v>46082</v>
      </c>
      <c r="G26" s="50">
        <v>46113</v>
      </c>
      <c r="H26" s="51">
        <v>10</v>
      </c>
      <c r="I26" s="50">
        <f>G26+H26</f>
        <v>46123</v>
      </c>
      <c r="J26" s="5">
        <v>100</v>
      </c>
    </row>
    <row r="27" spans="2:10" ht="30.75">
      <c r="B27" s="216"/>
      <c r="C27" s="59">
        <v>7.2</v>
      </c>
      <c r="D27" s="53" t="s">
        <v>145</v>
      </c>
      <c r="E27" s="49" t="s">
        <v>12</v>
      </c>
      <c r="F27" s="50">
        <v>46124</v>
      </c>
      <c r="G27" s="50">
        <v>46132</v>
      </c>
      <c r="H27" s="51">
        <v>3</v>
      </c>
      <c r="I27" s="50">
        <f>G27+H27</f>
        <v>46135</v>
      </c>
      <c r="J27" s="5">
        <v>100</v>
      </c>
    </row>
    <row r="28" spans="2:10" ht="25.5" customHeight="1">
      <c r="B28" s="234">
        <v>8</v>
      </c>
      <c r="C28" s="225" t="s">
        <v>87</v>
      </c>
      <c r="D28" s="226"/>
      <c r="E28" s="226"/>
      <c r="F28" s="226"/>
      <c r="G28" s="226"/>
      <c r="H28" s="226"/>
      <c r="I28" s="226"/>
      <c r="J28" s="227"/>
    </row>
    <row r="29" spans="2:10">
      <c r="B29" s="235"/>
      <c r="C29" s="60">
        <v>8.1</v>
      </c>
      <c r="D29" s="48" t="s">
        <v>88</v>
      </c>
      <c r="E29" s="49" t="s">
        <v>12</v>
      </c>
      <c r="F29" s="152">
        <v>46080</v>
      </c>
      <c r="G29" s="50">
        <v>46131</v>
      </c>
      <c r="H29" s="51">
        <v>6</v>
      </c>
      <c r="I29" s="50">
        <f>G29+H29</f>
        <v>46137</v>
      </c>
      <c r="J29" s="5">
        <v>100</v>
      </c>
    </row>
    <row r="30" spans="2:10">
      <c r="B30" s="4">
        <v>9</v>
      </c>
      <c r="C30" s="236" t="s">
        <v>89</v>
      </c>
      <c r="D30" s="237"/>
      <c r="E30" s="54" t="s">
        <v>140</v>
      </c>
      <c r="F30" s="55">
        <v>46138</v>
      </c>
      <c r="G30" s="56">
        <v>46147</v>
      </c>
      <c r="H30" s="57">
        <v>10</v>
      </c>
      <c r="I30" s="55">
        <f>G30+H30</f>
        <v>46157</v>
      </c>
      <c r="J30" s="5">
        <v>100</v>
      </c>
    </row>
    <row r="31" spans="2:10" ht="26.25" customHeight="1">
      <c r="B31" s="4">
        <v>10</v>
      </c>
      <c r="C31" s="238" t="s">
        <v>90</v>
      </c>
      <c r="D31" s="239"/>
      <c r="E31" s="54" t="s">
        <v>140</v>
      </c>
      <c r="F31" s="58">
        <v>46158</v>
      </c>
      <c r="G31" s="55">
        <v>46164</v>
      </c>
      <c r="H31" s="57">
        <v>6</v>
      </c>
      <c r="I31" s="55">
        <f>G31+H31</f>
        <v>46170</v>
      </c>
      <c r="J31" s="5">
        <v>100</v>
      </c>
    </row>
    <row r="32" spans="2:10" ht="25.5" customHeight="1"/>
    <row r="33" ht="24.75" customHeight="1"/>
  </sheetData>
  <mergeCells count="47">
    <mergeCell ref="B28:B29"/>
    <mergeCell ref="C30:D30"/>
    <mergeCell ref="C31:D31"/>
    <mergeCell ref="I20:I21"/>
    <mergeCell ref="J12:J13"/>
    <mergeCell ref="G12:G13"/>
    <mergeCell ref="H12:H13"/>
    <mergeCell ref="I12:I13"/>
    <mergeCell ref="C25:J25"/>
    <mergeCell ref="B11:B14"/>
    <mergeCell ref="J20:J21"/>
    <mergeCell ref="F16:F17"/>
    <mergeCell ref="G16:G17"/>
    <mergeCell ref="H16:H17"/>
    <mergeCell ref="I16:I17"/>
    <mergeCell ref="C19:J19"/>
    <mergeCell ref="B19:B22"/>
    <mergeCell ref="B23:B24"/>
    <mergeCell ref="B25:B27"/>
    <mergeCell ref="F9:F10"/>
    <mergeCell ref="B15:B18"/>
    <mergeCell ref="F12:F13"/>
    <mergeCell ref="B8:B10"/>
    <mergeCell ref="C28:J28"/>
    <mergeCell ref="C23:J23"/>
    <mergeCell ref="C11:J11"/>
    <mergeCell ref="C15:J15"/>
    <mergeCell ref="C5:J5"/>
    <mergeCell ref="J6:J7"/>
    <mergeCell ref="J9:J10"/>
    <mergeCell ref="C8:J8"/>
    <mergeCell ref="F6:F7"/>
    <mergeCell ref="G6:G7"/>
    <mergeCell ref="H6:H7"/>
    <mergeCell ref="I6:I7"/>
    <mergeCell ref="F20:F21"/>
    <mergeCell ref="G20:G21"/>
    <mergeCell ref="H20:H21"/>
    <mergeCell ref="B2:J2"/>
    <mergeCell ref="D6:D7"/>
    <mergeCell ref="C6:C7"/>
    <mergeCell ref="B5:B7"/>
    <mergeCell ref="J16:J17"/>
    <mergeCell ref="G9:G10"/>
    <mergeCell ref="H9:H10"/>
    <mergeCell ref="I9:I10"/>
    <mergeCell ref="B3:D3"/>
  </mergeCells>
  <conditionalFormatting sqref="L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{5B4DD93A-4CAA-4E85-A717-CFF534B6BB6E}</x14:id>
        </ext>
      </extLst>
    </cfRule>
  </conditionalFormatting>
  <conditionalFormatting sqref="J9:J10 J6:J7 J12:J13 J16:J18 J20:J22 J24 J26:J27 J29:J3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{90E57D05-B7CE-4919-A90C-24BF60EBE9C7}</x14:id>
        </ext>
      </extLst>
    </cfRule>
  </conditionalFormatting>
  <conditionalFormatting sqref="J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{3AA3638A-438A-49FC-BE5E-6668C4529437}</x14:id>
        </ext>
      </extLst>
    </cfRule>
  </conditionalFormatting>
  <pageMargins left="0.7" right="0.7" top="0.75" bottom="0.75" header="0.3" footer="0.3"/>
  <pageSetup paperSize="9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4DD93A-4CAA-4E85-A717-CFF534B6BB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90E57D05-B7CE-4919-A90C-24BF60EBE9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J9:J10 J6:J7 J12:J13 J16:J18 J20:J22 J24 J26:J27 J29:J31</xm:sqref>
        </x14:conditionalFormatting>
        <x14:conditionalFormatting xmlns:xm="http://schemas.microsoft.com/office/excel/2006/main">
          <x14:cfRule type="dataBar" id="{3AA3638A-438A-49FC-BE5E-6668C45294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2BFBD-36CA-4E85-B570-7A9191653663}">
  <sheetPr>
    <pageSetUpPr fitToPage="1"/>
  </sheetPr>
  <dimension ref="B2:R49"/>
  <sheetViews>
    <sheetView tabSelected="1" workbookViewId="0">
      <selection activeCell="O8" sqref="O8"/>
    </sheetView>
  </sheetViews>
  <sheetFormatPr defaultRowHeight="15"/>
  <cols>
    <col min="1" max="1" width="2.85546875" style="10" customWidth="1"/>
    <col min="2" max="2" width="7.5703125" style="10" bestFit="1" customWidth="1"/>
    <col min="3" max="3" width="19.140625" style="10" bestFit="1" customWidth="1"/>
    <col min="4" max="4" width="11.28515625" style="10" bestFit="1" customWidth="1"/>
    <col min="5" max="7" width="10.5703125" style="10" customWidth="1"/>
    <col min="8" max="8" width="23" style="10" bestFit="1" customWidth="1"/>
    <col min="9" max="9" width="29.7109375" style="10" bestFit="1" customWidth="1"/>
    <col min="10" max="10" width="20.7109375" style="10" bestFit="1" customWidth="1"/>
    <col min="11" max="11" width="10.85546875" style="10" bestFit="1" customWidth="1"/>
    <col min="12" max="12" width="13.85546875" style="10" bestFit="1" customWidth="1"/>
    <col min="13" max="13" width="12.5703125" style="10" bestFit="1" customWidth="1"/>
    <col min="14" max="16384" width="9.140625" style="10"/>
  </cols>
  <sheetData>
    <row r="2" spans="2:13" ht="18.75">
      <c r="B2" s="180" t="s">
        <v>146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</row>
    <row r="3" spans="2:13" ht="18.75">
      <c r="B3" s="182" t="s">
        <v>1</v>
      </c>
      <c r="C3" s="182"/>
      <c r="D3" s="182"/>
    </row>
    <row r="4" spans="2:13" ht="15.75">
      <c r="B4" s="173" t="s">
        <v>147</v>
      </c>
      <c r="C4" s="173" t="s">
        <v>148</v>
      </c>
      <c r="D4" s="173" t="s">
        <v>149</v>
      </c>
      <c r="E4" s="158" t="s">
        <v>150</v>
      </c>
      <c r="F4" s="158" t="s">
        <v>151</v>
      </c>
      <c r="G4" s="158" t="s">
        <v>152</v>
      </c>
      <c r="H4" s="158" t="s">
        <v>153</v>
      </c>
      <c r="I4" s="158" t="s">
        <v>154</v>
      </c>
      <c r="J4" s="158" t="s">
        <v>155</v>
      </c>
      <c r="K4" s="158" t="s">
        <v>156</v>
      </c>
      <c r="L4" s="158" t="s">
        <v>157</v>
      </c>
      <c r="M4" s="158" t="s">
        <v>158</v>
      </c>
    </row>
    <row r="5" spans="2:13" ht="64.5" customHeight="1">
      <c r="B5" s="159" t="s">
        <v>159</v>
      </c>
      <c r="C5" s="160" t="s">
        <v>160</v>
      </c>
      <c r="D5" s="156" t="s">
        <v>161</v>
      </c>
      <c r="E5" s="5">
        <v>3</v>
      </c>
      <c r="F5" s="5">
        <v>4</v>
      </c>
      <c r="G5" s="5">
        <f>E5*F5</f>
        <v>12</v>
      </c>
      <c r="H5" s="161" t="s">
        <v>162</v>
      </c>
      <c r="I5" s="160" t="s">
        <v>163</v>
      </c>
      <c r="J5" s="160" t="s">
        <v>164</v>
      </c>
      <c r="K5" s="163" t="s">
        <v>165</v>
      </c>
      <c r="L5" s="162">
        <v>45990</v>
      </c>
      <c r="M5" s="164" t="s">
        <v>166</v>
      </c>
    </row>
    <row r="6" spans="2:13" ht="51.75" customHeight="1">
      <c r="B6" s="159" t="s">
        <v>167</v>
      </c>
      <c r="C6" s="160" t="s">
        <v>168</v>
      </c>
      <c r="D6" s="156" t="s">
        <v>169</v>
      </c>
      <c r="E6" s="5">
        <v>3</v>
      </c>
      <c r="F6" s="5">
        <v>5</v>
      </c>
      <c r="G6" s="5">
        <f t="shared" ref="G6:G8" si="0">E6*F6</f>
        <v>15</v>
      </c>
      <c r="H6" s="161" t="s">
        <v>170</v>
      </c>
      <c r="I6" s="160" t="s">
        <v>171</v>
      </c>
      <c r="J6" s="160" t="s">
        <v>172</v>
      </c>
      <c r="K6" s="163" t="s">
        <v>165</v>
      </c>
      <c r="L6" s="162">
        <v>46029</v>
      </c>
      <c r="M6" s="164" t="s">
        <v>166</v>
      </c>
    </row>
    <row r="7" spans="2:13" ht="91.5">
      <c r="B7" s="174" t="s">
        <v>173</v>
      </c>
      <c r="C7" s="175" t="s">
        <v>174</v>
      </c>
      <c r="D7" s="157" t="s">
        <v>175</v>
      </c>
      <c r="E7" s="154">
        <v>2</v>
      </c>
      <c r="F7" s="154">
        <v>4</v>
      </c>
      <c r="G7" s="154">
        <f t="shared" si="0"/>
        <v>8</v>
      </c>
      <c r="H7" s="176" t="s">
        <v>176</v>
      </c>
      <c r="I7" s="175" t="s">
        <v>177</v>
      </c>
      <c r="J7" s="175" t="s">
        <v>178</v>
      </c>
      <c r="K7" s="177" t="s">
        <v>165</v>
      </c>
      <c r="L7" s="178">
        <v>46076</v>
      </c>
      <c r="M7" s="179" t="s">
        <v>166</v>
      </c>
    </row>
    <row r="8" spans="2:13" ht="60.75">
      <c r="B8" s="159" t="s">
        <v>179</v>
      </c>
      <c r="C8" s="160" t="s">
        <v>180</v>
      </c>
      <c r="D8" s="156" t="s">
        <v>181</v>
      </c>
      <c r="E8" s="5">
        <v>2</v>
      </c>
      <c r="F8" s="5">
        <v>2</v>
      </c>
      <c r="G8" s="5">
        <f t="shared" si="0"/>
        <v>4</v>
      </c>
      <c r="H8" s="161" t="s">
        <v>182</v>
      </c>
      <c r="I8" s="160" t="s">
        <v>183</v>
      </c>
      <c r="J8" s="160" t="s">
        <v>183</v>
      </c>
      <c r="K8" s="164" t="s">
        <v>184</v>
      </c>
      <c r="L8" s="156" t="s">
        <v>183</v>
      </c>
      <c r="M8" s="164" t="s">
        <v>185</v>
      </c>
    </row>
    <row r="49" spans="18:18">
      <c r="R49" s="149"/>
    </row>
  </sheetData>
  <mergeCells count="2">
    <mergeCell ref="B2:M2"/>
    <mergeCell ref="B3:D3"/>
  </mergeCells>
  <conditionalFormatting sqref="E5:E8">
    <cfRule type="cellIs" dxfId="8" priority="9" operator="between">
      <formula>4</formula>
      <formula>5</formula>
    </cfRule>
  </conditionalFormatting>
  <conditionalFormatting sqref="E5:E8">
    <cfRule type="cellIs" dxfId="7" priority="8" operator="between">
      <formula>1</formula>
      <formula>2</formula>
    </cfRule>
  </conditionalFormatting>
  <conditionalFormatting sqref="E5:E8">
    <cfRule type="cellIs" dxfId="6" priority="7" operator="equal">
      <formula>3</formula>
    </cfRule>
  </conditionalFormatting>
  <conditionalFormatting sqref="F5:F8">
    <cfRule type="cellIs" dxfId="5" priority="4" operator="between">
      <formula>4</formula>
      <formula>5</formula>
    </cfRule>
  </conditionalFormatting>
  <conditionalFormatting sqref="F5:F8">
    <cfRule type="cellIs" dxfId="4" priority="5" operator="between">
      <formula>1</formula>
      <formula>2</formula>
    </cfRule>
  </conditionalFormatting>
  <conditionalFormatting sqref="F5:F8">
    <cfRule type="cellIs" dxfId="3" priority="6" operator="equal">
      <formula>3</formula>
    </cfRule>
  </conditionalFormatting>
  <conditionalFormatting sqref="G5:G8">
    <cfRule type="cellIs" dxfId="2" priority="1" operator="between">
      <formula>6</formula>
      <formula>13</formula>
    </cfRule>
  </conditionalFormatting>
  <conditionalFormatting sqref="G5:G8">
    <cfRule type="cellIs" dxfId="1" priority="2" operator="between">
      <formula>1</formula>
      <formula>5</formula>
    </cfRule>
  </conditionalFormatting>
  <conditionalFormatting sqref="G5:G8">
    <cfRule type="cellIs" dxfId="0" priority="3" operator="between">
      <formula>15</formula>
      <formula>25</formula>
    </cfRule>
  </conditionalFormatting>
  <printOptions horizontalCentered="1" verticalCentered="1"/>
  <pageMargins left="0.25" right="0.25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2026-10-08T04:03:57Z</dcterms:created>
  <dcterms:modified xsi:type="dcterms:W3CDTF">2026-10-12T06:12:50Z</dcterms:modified>
  <cp:category/>
  <cp:contentStatus/>
</cp:coreProperties>
</file>